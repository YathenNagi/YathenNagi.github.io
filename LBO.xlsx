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anis\Downloads\"/>
    </mc:Choice>
  </mc:AlternateContent>
  <xr:revisionPtr revIDLastSave="0" documentId="8_{4707063A-0381-410B-8278-DF7645CD7E86}" xr6:coauthVersionLast="47" xr6:coauthVersionMax="47" xr10:uidLastSave="{00000000-0000-0000-0000-000000000000}"/>
  <bookViews>
    <workbookView xWindow="-108" yWindow="-108" windowWidth="23256" windowHeight="14616" xr2:uid="{C4210E7C-C3A4-48F2-B8E6-2879B2A180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3" i="1" l="1"/>
  <c r="J94" i="1"/>
  <c r="I94" i="1"/>
  <c r="H94" i="1"/>
  <c r="G94" i="1"/>
  <c r="F94" i="1"/>
  <c r="J66" i="1"/>
  <c r="I66" i="1"/>
  <c r="H66" i="1"/>
  <c r="G66" i="1"/>
  <c r="F66" i="1"/>
  <c r="G30" i="1"/>
  <c r="H30" i="1" s="1"/>
  <c r="I30" i="1" s="1"/>
  <c r="E33" i="1"/>
  <c r="F33" i="1" s="1"/>
  <c r="G33" i="1" s="1"/>
  <c r="H33" i="1" s="1"/>
  <c r="I33" i="1" s="1"/>
  <c r="J33" i="1" s="1"/>
  <c r="E29" i="1"/>
  <c r="F29" i="1" s="1"/>
  <c r="C9" i="1"/>
  <c r="J22" i="1"/>
  <c r="C3" i="1"/>
  <c r="C5" i="1" l="1"/>
  <c r="J20" i="1" s="1"/>
  <c r="C12" i="1"/>
  <c r="F55" i="1"/>
  <c r="F50" i="1"/>
  <c r="F35" i="1"/>
  <c r="F49" i="1" s="1"/>
  <c r="F32" i="1"/>
  <c r="G29" i="1"/>
  <c r="E32" i="1"/>
  <c r="E40" i="1" s="1"/>
  <c r="E41" i="1" s="1"/>
  <c r="C10" i="1"/>
  <c r="C14" i="1" s="1"/>
  <c r="E22" i="1" s="1"/>
  <c r="E105" i="1" s="1"/>
  <c r="E108" i="1" s="1"/>
  <c r="E20" i="1"/>
  <c r="E21" i="1"/>
  <c r="F79" i="1" s="1"/>
  <c r="E23" i="1"/>
  <c r="H7" i="1"/>
  <c r="J21" i="1" s="1"/>
  <c r="J23" i="1" s="1"/>
  <c r="F82" i="1" l="1"/>
  <c r="F70" i="1"/>
  <c r="F71" i="1" s="1"/>
  <c r="F65" i="1" s="1"/>
  <c r="E24" i="1"/>
  <c r="F80" i="1"/>
  <c r="F93" i="1"/>
  <c r="C15" i="1"/>
  <c r="F86" i="1"/>
  <c r="F87" i="1" s="1"/>
  <c r="F89" i="1" s="1"/>
  <c r="G55" i="1"/>
  <c r="G50" i="1"/>
  <c r="G35" i="1"/>
  <c r="G49" i="1" s="1"/>
  <c r="H29" i="1"/>
  <c r="G32" i="1"/>
  <c r="E42" i="1"/>
  <c r="E45" i="1" s="1"/>
  <c r="G93" i="1" l="1"/>
  <c r="G82" i="1"/>
  <c r="F83" i="1"/>
  <c r="G79" i="1" s="1"/>
  <c r="F75" i="1"/>
  <c r="G95" i="1"/>
  <c r="E25" i="1"/>
  <c r="J26" i="1" s="1"/>
  <c r="E114" i="1"/>
  <c r="E118" i="1" s="1"/>
  <c r="G86" i="1"/>
  <c r="G87" i="1" s="1"/>
  <c r="G89" i="1" s="1"/>
  <c r="F116" i="1"/>
  <c r="F38" i="1"/>
  <c r="F40" i="1" s="1"/>
  <c r="F41" i="1" s="1"/>
  <c r="F42" i="1" s="1"/>
  <c r="F45" i="1" s="1"/>
  <c r="F95" i="1"/>
  <c r="G80" i="1"/>
  <c r="F47" i="1"/>
  <c r="H50" i="1"/>
  <c r="H35" i="1"/>
  <c r="H49" i="1" s="1"/>
  <c r="H55" i="1"/>
  <c r="I29" i="1"/>
  <c r="H32" i="1"/>
  <c r="G83" i="1" l="1"/>
  <c r="H79" i="1" s="1"/>
  <c r="H93" i="1"/>
  <c r="H95" i="1" s="1"/>
  <c r="H82" i="1"/>
  <c r="F58" i="1"/>
  <c r="F64" i="1" s="1"/>
  <c r="F67" i="1" s="1"/>
  <c r="H86" i="1"/>
  <c r="H87" i="1" s="1"/>
  <c r="H89" i="1" s="1"/>
  <c r="G116" i="1"/>
  <c r="G47" i="1"/>
  <c r="F73" i="1"/>
  <c r="G63" i="1" s="1"/>
  <c r="H80" i="1"/>
  <c r="H83" i="1" s="1"/>
  <c r="I79" i="1" s="1"/>
  <c r="I55" i="1"/>
  <c r="I35" i="1"/>
  <c r="I49" i="1" s="1"/>
  <c r="I50" i="1"/>
  <c r="J29" i="1"/>
  <c r="I32" i="1"/>
  <c r="I93" i="1" s="1"/>
  <c r="H47" i="1" l="1"/>
  <c r="I82" i="1"/>
  <c r="I95" i="1"/>
  <c r="I86" i="1"/>
  <c r="I87" i="1" s="1"/>
  <c r="I89" i="1" s="1"/>
  <c r="H116" i="1"/>
  <c r="F74" i="1"/>
  <c r="F97" i="1"/>
  <c r="I80" i="1"/>
  <c r="I47" i="1" s="1"/>
  <c r="J32" i="1"/>
  <c r="J93" i="1" s="1"/>
  <c r="J50" i="1"/>
  <c r="J35" i="1"/>
  <c r="J49" i="1" s="1"/>
  <c r="J55" i="1"/>
  <c r="J86" i="1" l="1"/>
  <c r="J87" i="1" s="1"/>
  <c r="J89" i="1" s="1"/>
  <c r="J116" i="1" s="1"/>
  <c r="I116" i="1"/>
  <c r="J95" i="1"/>
  <c r="G70" i="1"/>
  <c r="F96" i="1"/>
  <c r="F98" i="1" s="1"/>
  <c r="I83" i="1"/>
  <c r="J79" i="1" s="1"/>
  <c r="F101" i="1" l="1"/>
  <c r="F107" i="1"/>
  <c r="F117" i="1" s="1"/>
  <c r="G75" i="1"/>
  <c r="G38" i="1" s="1"/>
  <c r="G40" i="1" s="1"/>
  <c r="G41" i="1" s="1"/>
  <c r="G42" i="1" s="1"/>
  <c r="G45" i="1" s="1"/>
  <c r="G58" i="1" s="1"/>
  <c r="G64" i="1" s="1"/>
  <c r="G71" i="1"/>
  <c r="G65" i="1" s="1"/>
  <c r="J80" i="1"/>
  <c r="J47" i="1" s="1"/>
  <c r="J82" i="1" l="1"/>
  <c r="F106" i="1" a="1"/>
  <c r="F106" i="1" s="1"/>
  <c r="F115" i="1" s="1"/>
  <c r="F118" i="1" s="1"/>
  <c r="F102" i="1"/>
  <c r="G67" i="1"/>
  <c r="G73" i="1" s="1"/>
  <c r="G74" i="1" s="1"/>
  <c r="J83" i="1"/>
  <c r="F108" i="1" l="1"/>
  <c r="F110" i="1" s="1"/>
  <c r="F111" i="1" s="1"/>
  <c r="H63" i="1"/>
  <c r="F120" i="1"/>
  <c r="F121" i="1" s="1"/>
  <c r="G97" i="1"/>
  <c r="H70" i="1"/>
  <c r="G96" i="1"/>
  <c r="G98" i="1" l="1"/>
  <c r="G101" i="1" s="1"/>
  <c r="H75" i="1"/>
  <c r="H38" i="1" s="1"/>
  <c r="H40" i="1" s="1"/>
  <c r="H41" i="1" s="1"/>
  <c r="H42" i="1" s="1"/>
  <c r="H45" i="1" s="1"/>
  <c r="H58" i="1" s="1"/>
  <c r="H64" i="1" s="1"/>
  <c r="H71" i="1"/>
  <c r="G107" i="1" l="1"/>
  <c r="G117" i="1" s="1"/>
  <c r="G102" i="1"/>
  <c r="G106" i="1" a="1"/>
  <c r="G106" i="1" s="1"/>
  <c r="G108" i="1" s="1"/>
  <c r="G110" i="1" s="1"/>
  <c r="G111" i="1" s="1"/>
  <c r="H65" i="1"/>
  <c r="H67" i="1" s="1"/>
  <c r="G115" i="1" l="1"/>
  <c r="G118" i="1" s="1"/>
  <c r="G120" i="1" s="1"/>
  <c r="G121" i="1" s="1"/>
  <c r="H73" i="1"/>
  <c r="H74" i="1" s="1"/>
  <c r="H97" i="1" l="1"/>
  <c r="I63" i="1"/>
  <c r="I70" i="1"/>
  <c r="H96" i="1"/>
  <c r="H98" i="1" l="1"/>
  <c r="H101" i="1" s="1"/>
  <c r="I75" i="1"/>
  <c r="I38" i="1" s="1"/>
  <c r="I40" i="1" s="1"/>
  <c r="I41" i="1" s="1"/>
  <c r="I42" i="1" s="1"/>
  <c r="I45" i="1" s="1"/>
  <c r="I58" i="1" s="1"/>
  <c r="I64" i="1" s="1"/>
  <c r="I71" i="1"/>
  <c r="I65" i="1" s="1"/>
  <c r="H107" i="1" l="1"/>
  <c r="H117" i="1" s="1"/>
  <c r="H106" i="1" a="1"/>
  <c r="H106" i="1" s="1"/>
  <c r="H108" i="1" s="1"/>
  <c r="H110" i="1" s="1"/>
  <c r="H111" i="1" s="1"/>
  <c r="H102" i="1"/>
  <c r="I67" i="1"/>
  <c r="H115" i="1" l="1"/>
  <c r="H118" i="1" s="1"/>
  <c r="H120" i="1" s="1"/>
  <c r="H121" i="1" s="1"/>
  <c r="I73" i="1"/>
  <c r="I74" i="1" s="1"/>
  <c r="J63" i="1" l="1"/>
  <c r="J70" i="1"/>
  <c r="I96" i="1"/>
  <c r="I97" i="1"/>
  <c r="I98" i="1" l="1"/>
  <c r="J75" i="1"/>
  <c r="J38" i="1" s="1"/>
  <c r="J40" i="1" s="1"/>
  <c r="J41" i="1" s="1"/>
  <c r="J42" i="1" s="1"/>
  <c r="J45" i="1" s="1"/>
  <c r="J58" i="1" s="1"/>
  <c r="J64" i="1" s="1"/>
  <c r="J71" i="1"/>
  <c r="J65" i="1" s="1"/>
  <c r="J67" i="1" l="1"/>
  <c r="J73" i="1" s="1"/>
  <c r="J74" i="1" s="1"/>
  <c r="J96" i="1" s="1"/>
  <c r="I101" i="1"/>
  <c r="I107" i="1"/>
  <c r="I117" i="1" s="1"/>
  <c r="I102" i="1" l="1"/>
  <c r="I106" i="1" a="1"/>
  <c r="I106" i="1" s="1"/>
  <c r="I108" i="1" s="1"/>
  <c r="I110" i="1" s="1"/>
  <c r="I111" i="1" s="1"/>
  <c r="J97" i="1"/>
  <c r="J98" i="1" s="1"/>
  <c r="I115" i="1" l="1"/>
  <c r="I118" i="1" s="1"/>
  <c r="I120" i="1" s="1"/>
  <c r="I121" i="1" s="1"/>
  <c r="J101" i="1"/>
  <c r="J107" i="1"/>
  <c r="J117" i="1" s="1"/>
  <c r="J102" i="1" l="1"/>
  <c r="J106" i="1" a="1"/>
  <c r="J106" i="1" s="1"/>
  <c r="J108" i="1" s="1"/>
  <c r="J110" i="1" s="1"/>
  <c r="J111" i="1" s="1"/>
  <c r="J115" i="1" l="1"/>
  <c r="J118" i="1" s="1"/>
  <c r="J120" i="1" s="1"/>
  <c r="J121" i="1" l="1"/>
  <c r="J124" i="1" s="1" a="1"/>
  <c r="J124" i="1" s="1"/>
  <c r="C128" i="1" s="1"/>
  <c r="J123" i="1" a="1"/>
  <c r="J12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<sst xmlns="http://schemas.openxmlformats.org/spreadsheetml/2006/main" count="148" uniqueCount="102">
  <si>
    <t>Transaction assumptions</t>
  </si>
  <si>
    <t>LTM EBITDA</t>
  </si>
  <si>
    <t>Purchase multiple</t>
  </si>
  <si>
    <t>Purchase EV</t>
  </si>
  <si>
    <t>Total debt used</t>
  </si>
  <si>
    <t>Beginning revenue</t>
  </si>
  <si>
    <t>EBITDA margin</t>
  </si>
  <si>
    <t>Shareholder loan</t>
  </si>
  <si>
    <t>Interest</t>
  </si>
  <si>
    <t>PIK Interest</t>
  </si>
  <si>
    <t>Sources and uses</t>
  </si>
  <si>
    <t>Sources</t>
  </si>
  <si>
    <t>Uses</t>
  </si>
  <si>
    <t>Minimum cash</t>
  </si>
  <si>
    <t>Advisory and financing fees</t>
  </si>
  <si>
    <t>Advisory and financing fees %</t>
  </si>
  <si>
    <t xml:space="preserve">Advisory and financing fees </t>
  </si>
  <si>
    <t>Units</t>
  </si>
  <si>
    <t>€M</t>
  </si>
  <si>
    <t>Total uses</t>
  </si>
  <si>
    <t>Senior bank debt</t>
  </si>
  <si>
    <t>Seller's notes</t>
  </si>
  <si>
    <t>Leveage ratio</t>
  </si>
  <si>
    <t>Management rollover</t>
  </si>
  <si>
    <t>Regular Sponsor equity</t>
  </si>
  <si>
    <t>Equity rollover</t>
  </si>
  <si>
    <t>Investor equity</t>
  </si>
  <si>
    <t>Total sources</t>
  </si>
  <si>
    <t>Check?</t>
  </si>
  <si>
    <t>Year 5</t>
  </si>
  <si>
    <t>Year 4</t>
  </si>
  <si>
    <t>Year 3</t>
  </si>
  <si>
    <t>Year 2</t>
  </si>
  <si>
    <t>Year 1</t>
  </si>
  <si>
    <t xml:space="preserve">Year 0 </t>
  </si>
  <si>
    <t>Revenue</t>
  </si>
  <si>
    <t>EBITDA</t>
  </si>
  <si>
    <t>Depreciation</t>
  </si>
  <si>
    <t>Pre-tax income</t>
  </si>
  <si>
    <t>Taxes</t>
  </si>
  <si>
    <t>Net income</t>
  </si>
  <si>
    <t>Tax rate</t>
  </si>
  <si>
    <t>% of sales</t>
  </si>
  <si>
    <t>Cash flow statement</t>
  </si>
  <si>
    <t>Changes in NWC</t>
  </si>
  <si>
    <t>Inventory % of sales</t>
  </si>
  <si>
    <t>Receivables % of sales</t>
  </si>
  <si>
    <t>Payables % of sales</t>
  </si>
  <si>
    <t>Growth rate</t>
  </si>
  <si>
    <t>Capex</t>
  </si>
  <si>
    <t>Free cash flow</t>
  </si>
  <si>
    <t>Debt schedule</t>
  </si>
  <si>
    <t>Cash flow calculation</t>
  </si>
  <si>
    <t>Beginning cash</t>
  </si>
  <si>
    <t>Amortization</t>
  </si>
  <si>
    <t>Min cash</t>
  </si>
  <si>
    <t>Cash flow surplus (shortfall)</t>
  </si>
  <si>
    <t>Senior Bank debt</t>
  </si>
  <si>
    <t>Beginning debt</t>
  </si>
  <si>
    <t>Cash flow sweep</t>
  </si>
  <si>
    <t>End debt</t>
  </si>
  <si>
    <t>% of debt</t>
  </si>
  <si>
    <t xml:space="preserve">Cash interest </t>
  </si>
  <si>
    <t>Shareholder loans</t>
  </si>
  <si>
    <t>Non-cash interest</t>
  </si>
  <si>
    <t>Principal repayment</t>
  </si>
  <si>
    <t>Returns calculations</t>
  </si>
  <si>
    <t>Exit EBITDA</t>
  </si>
  <si>
    <t>Exit multiple</t>
  </si>
  <si>
    <t>Exit EV</t>
  </si>
  <si>
    <t>Debt</t>
  </si>
  <si>
    <t>Cash</t>
  </si>
  <si>
    <t>Exit QV</t>
  </si>
  <si>
    <t>Project returns</t>
  </si>
  <si>
    <t>MoM</t>
  </si>
  <si>
    <t>IRR</t>
  </si>
  <si>
    <t>Returns to management</t>
  </si>
  <si>
    <t>Initial investment</t>
  </si>
  <si>
    <t>Earn-out received</t>
  </si>
  <si>
    <t>Exit equity proceeds</t>
  </si>
  <si>
    <t>Total cash flows</t>
  </si>
  <si>
    <t>Returns to sponsor</t>
  </si>
  <si>
    <t>Earn-out granted</t>
  </si>
  <si>
    <t>Case Study Questions</t>
  </si>
  <si>
    <t>1. What are the Sponsor IRR and money-on-money multiple at 8x, 10x, and 12x exit multiples in Years 4 and 5? Based on these results, would you recommend the deal?</t>
  </si>
  <si>
    <t>8x</t>
  </si>
  <si>
    <t>10x</t>
  </si>
  <si>
    <t>12x</t>
  </si>
  <si>
    <t xml:space="preserve">Based on these results, I would recommend the deal because even if the deal saw no multiple expansion, the sponsor can still realize 22% returns with a 4 year holding period (albeit 19% in 5 years), </t>
  </si>
  <si>
    <t>and with multiple expansion the returns obviously increase. One risk would be multiple contraction, so would have to assess whether the company is trading at a high multiple to comps already and go from there.</t>
  </si>
  <si>
    <t>2. How do the returns change if you assume Senior Bank Debt of 2x EBITDA or 4x EBITDA instead? Which level is most appropriate?</t>
  </si>
  <si>
    <t xml:space="preserve">Returns decrease if the PE firm assumes 2x EBITDA of senior bank debt and increase if they assume 4x. Which level is most appropriate would depend on leverage ratios used in similar, recent deals and </t>
  </si>
  <si>
    <t>potentially a desired leverage ratio by the PE firm itself (ie if it wants to stay investment grade then it would prefer to only take on 2x of senior bank debt).</t>
  </si>
  <si>
    <t>3. How do the Seller’s Notes affect the returns? What benefits do they provide to the company and the lenders?</t>
  </si>
  <si>
    <t>Exit year</t>
  </si>
  <si>
    <t>The seller's notes increase the returns because (1) they reduce initial upfront investment for PE firm and (2) they charge non-cash interest which provides tax-savings, therefore boosting FCF.</t>
  </si>
  <si>
    <t>4. How does the Shareholder Loan affect the returns compared with traditional Debt or Equity?</t>
  </si>
  <si>
    <t>The shareholder loan improves returns compared to traditional equity because the non-cash interest paid boosts FCF due to the tax-savings. It also boosts return compared to traditional debt since it repays the principal to itself.</t>
  </si>
  <si>
    <t>5. What is the best way for the PE firm to increase returns in this deal without changing the company’s financial projections?</t>
  </si>
  <si>
    <t>Increasing leverage, buying at a cheaper multiple/selling at a higher multiple, reducing management rollover/earn-outs (increases sponsor returns not project returns), using more shareholder loans and seller notes as well.</t>
  </si>
  <si>
    <t>Sensitivity Analysis</t>
  </si>
  <si>
    <t>Income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</si>
</sst>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quot;x&quot;"/>
    <numFmt numFmtId="165" formatCode="0.0"/>
    <numFmt numFmtId="166" formatCode="0.0%"/>
    <numFmt numFmtId="167" formatCode="0_);\(0\)"/>
    <numFmt numFmtId="168" formatCode="0.0_);\(0.0\)"/>
    <numFmt numFmtId="169" formatCode="_(* #,##0.0_);_(* \(#,##0.0\);_(* &quot;-&quot;??_);_(@_)"/>
    <numFmt numFmtId="170" formatCode="0.00&quot;x&quot;"/>
    <numFmt numFmtId="171" formatCode="&quot;Year&quot;\ &quot;0&quot;"/>
    <numFmt numFmtId="172" formatCode="&quot;Year&quot;\ &quot;1&quot;"/>
    <numFmt numFmtId="173" formatCode="&quot;Year&quot;\ &quot;2&quot;"/>
    <numFmt numFmtId="174" formatCode="&quot;Year&quot;\ &quot;3&quot;"/>
    <numFmt numFmtId="175" formatCode="&quot;Year&quot;\ &quot;4&quot;"/>
    <numFmt numFmtId="176" formatCode="&quot;Year&quot;\ &quot;5&quot;"/>
  </numFmts>
  <fonts count="9" x14ac:knownFonts="1">
    <font>
      <sz val="11"/>
      <color theme="1"/>
      <name val="Aptos Narrow"/>
      <family val="2"/>
      <scheme val="minor"/>
    </font>
    <font>
      <b/>
      <sz val="10"/>
      <color theme="1"/>
      <name val="Book Antiqua"/>
      <family val="1"/>
    </font>
    <font>
      <sz val="10"/>
      <color theme="1"/>
      <name val="Book Antiqua"/>
      <family val="1"/>
    </font>
    <font>
      <i/>
      <sz val="10"/>
      <color theme="1"/>
      <name val="Book Antiqua"/>
      <family val="1"/>
    </font>
    <font>
      <b/>
      <sz val="10"/>
      <color theme="0"/>
      <name val="Book Antiqua"/>
      <family val="1"/>
    </font>
    <font>
      <sz val="10"/>
      <color theme="0"/>
      <name val="Book Antiqua"/>
      <family val="1"/>
    </font>
    <font>
      <sz val="10"/>
      <color rgb="FF012ABF"/>
      <name val="Book Antiqua"/>
      <family val="1"/>
    </font>
    <font>
      <i/>
      <sz val="10"/>
      <color rgb="FF012ABF"/>
      <name val="Book Antiqua"/>
      <family val="1"/>
    </font>
    <font>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2" tint="-9.9978637043366805E-2"/>
        <bgColor indexed="64"/>
      </patternFill>
    </fill>
  </fills>
  <borders count="10">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83">
    <xf numFmtId="0" fontId="0" fillId="0" borderId="0" xfId="0"/>
    <xf numFmtId="0" fontId="2" fillId="0" borderId="0" xfId="0" applyFont="1"/>
    <xf numFmtId="0" fontId="1" fillId="0" borderId="0" xfId="0" applyFont="1"/>
    <xf numFmtId="164" fontId="2" fillId="0" borderId="0" xfId="0" applyNumberFormat="1" applyFont="1"/>
    <xf numFmtId="1" fontId="2" fillId="0" borderId="0" xfId="0" applyNumberFormat="1" applyFont="1"/>
    <xf numFmtId="1" fontId="1" fillId="0" borderId="0" xfId="0" applyNumberFormat="1" applyFont="1"/>
    <xf numFmtId="0" fontId="1" fillId="0" borderId="0" xfId="0" applyFont="1" applyAlignment="1">
      <alignment horizontal="center"/>
    </xf>
    <xf numFmtId="0" fontId="2" fillId="0" borderId="1" xfId="0" applyFont="1" applyBorder="1"/>
    <xf numFmtId="1" fontId="2" fillId="0" borderId="1" xfId="0" applyNumberFormat="1" applyFont="1" applyBorder="1"/>
    <xf numFmtId="165" fontId="2" fillId="0" borderId="2" xfId="0" applyNumberFormat="1" applyFont="1" applyBorder="1" applyAlignment="1">
      <alignment horizontal="center"/>
    </xf>
    <xf numFmtId="165" fontId="2" fillId="0" borderId="0" xfId="0" applyNumberFormat="1" applyFont="1" applyAlignment="1">
      <alignment horizontal="center"/>
    </xf>
    <xf numFmtId="0" fontId="3" fillId="0" borderId="0" xfId="0" applyFont="1" applyAlignment="1">
      <alignment horizontal="left" indent="1"/>
    </xf>
    <xf numFmtId="0" fontId="2" fillId="0" borderId="2" xfId="0" applyFont="1" applyBorder="1" applyAlignment="1">
      <alignment horizontal="center"/>
    </xf>
    <xf numFmtId="0" fontId="2" fillId="0" borderId="0" xfId="0" applyFont="1" applyAlignment="1">
      <alignment horizontal="center"/>
    </xf>
    <xf numFmtId="9" fontId="3" fillId="0" borderId="2" xfId="0" applyNumberFormat="1" applyFont="1" applyBorder="1" applyAlignment="1">
      <alignment horizontal="center"/>
    </xf>
    <xf numFmtId="166" fontId="3" fillId="0" borderId="0" xfId="0" applyNumberFormat="1" applyFont="1" applyAlignment="1">
      <alignment horizontal="center"/>
    </xf>
    <xf numFmtId="165" fontId="2" fillId="0" borderId="0" xfId="0" applyNumberFormat="1" applyFont="1"/>
    <xf numFmtId="0" fontId="2" fillId="0" borderId="3" xfId="0" applyFont="1" applyBorder="1" applyAlignment="1">
      <alignment horizontal="center"/>
    </xf>
    <xf numFmtId="165" fontId="2" fillId="0" borderId="1" xfId="0" applyNumberFormat="1" applyFont="1" applyBorder="1" applyAlignment="1">
      <alignment horizontal="center"/>
    </xf>
    <xf numFmtId="0" fontId="1" fillId="0" borderId="2" xfId="0" applyFont="1" applyBorder="1" applyAlignment="1">
      <alignment horizontal="center"/>
    </xf>
    <xf numFmtId="165" fontId="1" fillId="0" borderId="0" xfId="0" applyNumberFormat="1" applyFont="1" applyAlignment="1">
      <alignment horizontal="center"/>
    </xf>
    <xf numFmtId="0" fontId="2" fillId="0" borderId="2" xfId="0" applyFont="1" applyBorder="1"/>
    <xf numFmtId="43" fontId="2" fillId="0" borderId="2" xfId="0" applyNumberFormat="1" applyFont="1" applyBorder="1" applyAlignment="1">
      <alignment horizontal="center"/>
    </xf>
    <xf numFmtId="0" fontId="1" fillId="0" borderId="1" xfId="0" applyFont="1" applyBorder="1"/>
    <xf numFmtId="0" fontId="2" fillId="0" borderId="3" xfId="0" applyFont="1" applyBorder="1"/>
    <xf numFmtId="0" fontId="1" fillId="0" borderId="2" xfId="0" applyFont="1" applyBorder="1"/>
    <xf numFmtId="165" fontId="1" fillId="0" borderId="0" xfId="0" applyNumberFormat="1" applyFont="1"/>
    <xf numFmtId="165" fontId="2" fillId="0" borderId="1" xfId="0" applyNumberFormat="1" applyFont="1" applyBorder="1"/>
    <xf numFmtId="0" fontId="2" fillId="0" borderId="1" xfId="0" applyFont="1" applyBorder="1" applyAlignment="1">
      <alignment horizontal="left"/>
    </xf>
    <xf numFmtId="43" fontId="2" fillId="0" borderId="1" xfId="0" applyNumberFormat="1" applyFont="1" applyBorder="1"/>
    <xf numFmtId="0" fontId="3" fillId="0" borderId="1" xfId="0" applyFont="1" applyBorder="1" applyAlignment="1">
      <alignment horizontal="left" indent="1"/>
    </xf>
    <xf numFmtId="43" fontId="2" fillId="0" borderId="0" xfId="0" applyNumberFormat="1" applyFont="1"/>
    <xf numFmtId="167" fontId="2" fillId="0" borderId="2" xfId="0" applyNumberFormat="1" applyFont="1" applyBorder="1"/>
    <xf numFmtId="169" fontId="1" fillId="0" borderId="0" xfId="0" applyNumberFormat="1" applyFont="1"/>
    <xf numFmtId="9" fontId="1" fillId="0" borderId="0" xfId="0" applyNumberFormat="1" applyFont="1"/>
    <xf numFmtId="1" fontId="2" fillId="0" borderId="2" xfId="0" applyNumberFormat="1" applyFont="1" applyBorder="1"/>
    <xf numFmtId="169" fontId="2" fillId="0" borderId="0" xfId="0" applyNumberFormat="1" applyFont="1"/>
    <xf numFmtId="169" fontId="2" fillId="0" borderId="1" xfId="0" applyNumberFormat="1" applyFont="1" applyBorder="1"/>
    <xf numFmtId="167" fontId="1" fillId="0" borderId="2" xfId="0" applyNumberFormat="1" applyFont="1" applyBorder="1"/>
    <xf numFmtId="168" fontId="1" fillId="0" borderId="0" xfId="0" applyNumberFormat="1" applyFont="1"/>
    <xf numFmtId="170" fontId="1" fillId="0" borderId="0" xfId="0" applyNumberFormat="1" applyFont="1"/>
    <xf numFmtId="9" fontId="2" fillId="0" borderId="0" xfId="0" applyNumberFormat="1" applyFont="1" applyAlignment="1">
      <alignment horizontal="center"/>
    </xf>
    <xf numFmtId="170" fontId="2" fillId="0" borderId="0" xfId="0" applyNumberFormat="1" applyFont="1" applyAlignment="1">
      <alignment horizontal="center"/>
    </xf>
    <xf numFmtId="0" fontId="4" fillId="2" borderId="0" xfId="0" applyFont="1" applyFill="1"/>
    <xf numFmtId="0" fontId="2" fillId="2" borderId="0" xfId="0" applyFont="1" applyFill="1"/>
    <xf numFmtId="0" fontId="5" fillId="2" borderId="0" xfId="0" applyFont="1" applyFill="1"/>
    <xf numFmtId="0" fontId="4" fillId="2" borderId="2" xfId="0" applyFont="1" applyFill="1" applyBorder="1" applyAlignment="1">
      <alignment horizontal="center"/>
    </xf>
    <xf numFmtId="0" fontId="4" fillId="2" borderId="0" xfId="0" applyFont="1" applyFill="1" applyAlignment="1">
      <alignment horizontal="center"/>
    </xf>
    <xf numFmtId="171" fontId="4" fillId="2" borderId="2" xfId="0" applyNumberFormat="1" applyFont="1" applyFill="1" applyBorder="1" applyAlignment="1">
      <alignment horizontal="center"/>
    </xf>
    <xf numFmtId="172" fontId="4" fillId="2" borderId="0" xfId="0" applyNumberFormat="1" applyFont="1" applyFill="1" applyAlignment="1">
      <alignment horizontal="center"/>
    </xf>
    <xf numFmtId="173" fontId="4" fillId="2" borderId="0" xfId="0" applyNumberFormat="1" applyFont="1" applyFill="1" applyAlignment="1">
      <alignment horizontal="center"/>
    </xf>
    <xf numFmtId="174" fontId="4" fillId="2" borderId="0" xfId="0" applyNumberFormat="1" applyFont="1" applyFill="1" applyAlignment="1">
      <alignment horizontal="center"/>
    </xf>
    <xf numFmtId="175" fontId="4" fillId="2" borderId="0" xfId="0" applyNumberFormat="1" applyFont="1" applyFill="1" applyAlignment="1">
      <alignment horizontal="center"/>
    </xf>
    <xf numFmtId="176" fontId="4" fillId="2" borderId="0" xfId="0" applyNumberFormat="1" applyFont="1" applyFill="1" applyAlignment="1">
      <alignment horizontal="center"/>
    </xf>
    <xf numFmtId="164" fontId="6" fillId="0" borderId="0" xfId="0" applyNumberFormat="1" applyFont="1"/>
    <xf numFmtId="9" fontId="6" fillId="0" borderId="0" xfId="0" applyNumberFormat="1" applyFont="1"/>
    <xf numFmtId="0" fontId="6" fillId="0" borderId="0" xfId="0" applyFont="1"/>
    <xf numFmtId="9" fontId="7" fillId="0" borderId="0" xfId="0" applyNumberFormat="1" applyFont="1" applyAlignment="1">
      <alignment horizontal="center"/>
    </xf>
    <xf numFmtId="9" fontId="7" fillId="0" borderId="0" xfId="0" applyNumberFormat="1" applyFont="1"/>
    <xf numFmtId="9" fontId="7" fillId="0" borderId="1" xfId="0" applyNumberFormat="1" applyFont="1" applyBorder="1"/>
    <xf numFmtId="0" fontId="2" fillId="3" borderId="0" xfId="0" applyFont="1" applyFill="1"/>
    <xf numFmtId="9" fontId="1" fillId="3" borderId="0" xfId="0" applyNumberFormat="1" applyFont="1" applyFill="1"/>
    <xf numFmtId="0" fontId="1" fillId="3" borderId="0" xfId="0" applyFont="1" applyFill="1"/>
    <xf numFmtId="170" fontId="1" fillId="3" borderId="0" xfId="0" applyNumberFormat="1" applyFont="1" applyFill="1"/>
    <xf numFmtId="9" fontId="2" fillId="0" borderId="5" xfId="1" applyFont="1" applyBorder="1" applyAlignment="1">
      <alignment horizontal="center"/>
    </xf>
    <xf numFmtId="9" fontId="2" fillId="0" borderId="6" xfId="1" applyFont="1" applyBorder="1" applyAlignment="1">
      <alignment horizontal="center"/>
    </xf>
    <xf numFmtId="9" fontId="2" fillId="0" borderId="8" xfId="1" applyFont="1" applyBorder="1" applyAlignment="1">
      <alignment horizontal="center"/>
    </xf>
    <xf numFmtId="9" fontId="2" fillId="0" borderId="4" xfId="1" applyFont="1" applyBorder="1" applyAlignment="1">
      <alignment horizontal="center"/>
    </xf>
    <xf numFmtId="9" fontId="2" fillId="0" borderId="0" xfId="1" applyFont="1" applyAlignment="1">
      <alignment horizontal="center"/>
    </xf>
    <xf numFmtId="9" fontId="2" fillId="0" borderId="2" xfId="1" applyFont="1" applyBorder="1" applyAlignment="1">
      <alignment horizontal="center"/>
    </xf>
    <xf numFmtId="9" fontId="2" fillId="0" borderId="7" xfId="1" applyFont="1" applyBorder="1" applyAlignment="1">
      <alignment horizontal="center"/>
    </xf>
    <xf numFmtId="9" fontId="2" fillId="0" borderId="1" xfId="1" applyFont="1" applyBorder="1" applyAlignment="1">
      <alignment horizontal="center"/>
    </xf>
    <xf numFmtId="9" fontId="2" fillId="0" borderId="3" xfId="1" applyFont="1" applyBorder="1" applyAlignment="1">
      <alignment horizontal="center"/>
    </xf>
    <xf numFmtId="9" fontId="2" fillId="0" borderId="9" xfId="0" applyNumberFormat="1" applyFont="1" applyBorder="1" applyAlignment="1">
      <alignment horizontal="center"/>
    </xf>
    <xf numFmtId="0" fontId="6" fillId="0" borderId="4" xfId="0" applyFont="1" applyBorder="1" applyAlignment="1">
      <alignment horizontal="center"/>
    </xf>
    <xf numFmtId="0" fontId="6" fillId="0" borderId="7" xfId="0" applyFont="1" applyBorder="1" applyAlignment="1">
      <alignment horizontal="center"/>
    </xf>
    <xf numFmtId="164" fontId="6" fillId="0" borderId="6" xfId="0" applyNumberFormat="1" applyFont="1" applyBorder="1" applyAlignment="1">
      <alignment horizontal="center"/>
    </xf>
    <xf numFmtId="164" fontId="6" fillId="0" borderId="8" xfId="0" applyNumberFormat="1" applyFont="1" applyBorder="1" applyAlignment="1">
      <alignment horizontal="center"/>
    </xf>
    <xf numFmtId="0" fontId="1" fillId="0" borderId="0" xfId="0" applyFont="1"/>
    <xf numFmtId="0" fontId="1" fillId="0" borderId="1" xfId="0" applyFont="1" applyBorder="1" applyAlignment="1">
      <alignment horizontal="center"/>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right" vertical="center" textRotation="90"/>
    </xf>
  </cellXfs>
  <cellStyles count="2">
    <cellStyle name="Normal" xfId="0" builtinId="0"/>
    <cellStyle name="Percent" xfId="1" builtinId="5"/>
  </cellStyles>
  <dxfs count="0"/>
  <tableStyles count="0" defaultTableStyle="TableStyleMedium2" defaultPivotStyle="PivotStyleLight16"/>
  <colors>
    <mruColors>
      <color rgb="FF012A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10" Type="http://schemas.openxmlformats.org/officeDocument/2006/relationships/customXml" Target="../customXml/item3.xml"/><Relationship Id="rId4" Type="http://schemas.openxmlformats.org/officeDocument/2006/relationships/sharedStrings" Target="sharedString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6EA9-92FF-40ED-A62B-0390D14A4091}">
  <dimension ref="B2:L155"/>
  <sheetViews>
    <sheetView showGridLines="0" tabSelected="1" topLeftCell="A114" workbookViewId="0">
      <selection activeCell="B53" sqref="B53"/>
    </sheetView>
  </sheetViews>
  <sheetFormatPr defaultColWidth="15.77734375" defaultRowHeight="13.8" x14ac:dyDescent="0.3"/>
  <cols>
    <col min="1" max="1" width="15.77734375" style="1"/>
    <col min="2" max="2" width="22" style="1" customWidth="1"/>
    <col min="3" max="16384" width="15.77734375" style="1"/>
  </cols>
  <sheetData>
    <row r="2" spans="2:10" x14ac:dyDescent="0.3">
      <c r="B2" s="43" t="s">
        <v>0</v>
      </c>
      <c r="C2" s="44"/>
      <c r="D2" s="44"/>
      <c r="E2" s="43" t="s">
        <v>17</v>
      </c>
      <c r="F2" s="43" t="s">
        <v>18</v>
      </c>
      <c r="G2" s="44"/>
      <c r="H2" s="44"/>
      <c r="I2" s="44"/>
      <c r="J2" s="44"/>
    </row>
    <row r="3" spans="2:10" x14ac:dyDescent="0.3">
      <c r="B3" s="1" t="s">
        <v>1</v>
      </c>
      <c r="C3" s="1">
        <f>H3*H4</f>
        <v>45</v>
      </c>
      <c r="F3" s="1" t="s">
        <v>5</v>
      </c>
      <c r="H3" s="56">
        <v>150</v>
      </c>
    </row>
    <row r="4" spans="2:10" x14ac:dyDescent="0.3">
      <c r="B4" s="1" t="s">
        <v>2</v>
      </c>
      <c r="C4" s="54">
        <v>10</v>
      </c>
      <c r="F4" s="1" t="s">
        <v>6</v>
      </c>
      <c r="H4" s="55">
        <v>0.3</v>
      </c>
    </row>
    <row r="5" spans="2:10" x14ac:dyDescent="0.3">
      <c r="B5" s="2" t="s">
        <v>3</v>
      </c>
      <c r="C5" s="2">
        <f>C3*C4</f>
        <v>450</v>
      </c>
      <c r="H5" s="56"/>
    </row>
    <row r="6" spans="2:10" x14ac:dyDescent="0.3">
      <c r="F6" s="1" t="s">
        <v>15</v>
      </c>
      <c r="H6" s="55">
        <v>0.02</v>
      </c>
    </row>
    <row r="7" spans="2:10" x14ac:dyDescent="0.3">
      <c r="B7" s="1" t="s">
        <v>20</v>
      </c>
      <c r="C7" s="54">
        <v>3</v>
      </c>
      <c r="D7" s="3"/>
      <c r="F7" s="1" t="s">
        <v>16</v>
      </c>
      <c r="H7" s="1">
        <f>H6*C5</f>
        <v>9</v>
      </c>
    </row>
    <row r="8" spans="2:10" x14ac:dyDescent="0.3">
      <c r="B8" s="1" t="s">
        <v>21</v>
      </c>
      <c r="C8" s="54">
        <v>1</v>
      </c>
      <c r="D8" s="3"/>
    </row>
    <row r="9" spans="2:10" x14ac:dyDescent="0.3">
      <c r="B9" s="1" t="s">
        <v>22</v>
      </c>
      <c r="C9" s="3">
        <f>C7+C8</f>
        <v>4</v>
      </c>
      <c r="F9" s="1" t="s">
        <v>13</v>
      </c>
      <c r="H9" s="56">
        <v>2</v>
      </c>
    </row>
    <row r="10" spans="2:10" x14ac:dyDescent="0.3">
      <c r="B10" s="2" t="s">
        <v>4</v>
      </c>
      <c r="C10" s="2">
        <f>C9*C3</f>
        <v>180</v>
      </c>
      <c r="H10" s="56"/>
    </row>
    <row r="11" spans="2:10" x14ac:dyDescent="0.3">
      <c r="F11" s="1" t="s">
        <v>41</v>
      </c>
      <c r="H11" s="55">
        <v>0.3</v>
      </c>
    </row>
    <row r="12" spans="2:10" x14ac:dyDescent="0.3">
      <c r="B12" s="1" t="s">
        <v>7</v>
      </c>
      <c r="C12" s="1">
        <f>C3</f>
        <v>45</v>
      </c>
      <c r="H12" s="56"/>
    </row>
    <row r="13" spans="2:10" x14ac:dyDescent="0.3">
      <c r="B13" s="1" t="s">
        <v>9</v>
      </c>
      <c r="C13" s="55">
        <v>0.12</v>
      </c>
      <c r="F13" s="1" t="s">
        <v>68</v>
      </c>
      <c r="H13" s="54">
        <v>10</v>
      </c>
    </row>
    <row r="14" spans="2:10" x14ac:dyDescent="0.3">
      <c r="B14" s="1" t="s">
        <v>25</v>
      </c>
      <c r="C14" s="4">
        <f>0.1*(C5-C10)</f>
        <v>27</v>
      </c>
    </row>
    <row r="15" spans="2:10" x14ac:dyDescent="0.3">
      <c r="B15" s="2" t="s">
        <v>24</v>
      </c>
      <c r="C15" s="5">
        <f>C5-C10-C12-C14</f>
        <v>198</v>
      </c>
      <c r="F15" s="1" t="s">
        <v>94</v>
      </c>
      <c r="H15" s="56">
        <v>5</v>
      </c>
    </row>
    <row r="17" spans="2:10" x14ac:dyDescent="0.3">
      <c r="B17" s="43" t="s">
        <v>10</v>
      </c>
      <c r="C17" s="45"/>
      <c r="D17" s="45"/>
      <c r="E17" s="45"/>
      <c r="F17" s="45"/>
      <c r="G17" s="45"/>
      <c r="H17" s="45"/>
      <c r="I17" s="45"/>
      <c r="J17" s="45"/>
    </row>
    <row r="19" spans="2:10" x14ac:dyDescent="0.3">
      <c r="B19" s="79" t="s">
        <v>11</v>
      </c>
      <c r="C19" s="79"/>
      <c r="D19" s="79"/>
      <c r="E19" s="79"/>
      <c r="F19" s="6"/>
      <c r="G19" s="79" t="s">
        <v>12</v>
      </c>
      <c r="H19" s="79"/>
      <c r="I19" s="79"/>
      <c r="J19" s="79"/>
    </row>
    <row r="20" spans="2:10" x14ac:dyDescent="0.3">
      <c r="B20" s="1" t="s">
        <v>20</v>
      </c>
      <c r="E20" s="1">
        <f>C7*C3</f>
        <v>135</v>
      </c>
      <c r="G20" s="1" t="s">
        <v>3</v>
      </c>
      <c r="J20" s="1">
        <f>C5</f>
        <v>450</v>
      </c>
    </row>
    <row r="21" spans="2:10" x14ac:dyDescent="0.3">
      <c r="B21" s="1" t="s">
        <v>21</v>
      </c>
      <c r="E21" s="1">
        <f>C8*C3</f>
        <v>45</v>
      </c>
      <c r="G21" s="1" t="s">
        <v>14</v>
      </c>
      <c r="J21" s="1">
        <f>H7</f>
        <v>9</v>
      </c>
    </row>
    <row r="22" spans="2:10" x14ac:dyDescent="0.3">
      <c r="B22" s="1" t="s">
        <v>23</v>
      </c>
      <c r="E22" s="4">
        <f>C14</f>
        <v>27</v>
      </c>
      <c r="G22" s="7" t="s">
        <v>13</v>
      </c>
      <c r="H22" s="7"/>
      <c r="I22" s="7"/>
      <c r="J22" s="7">
        <f>H9</f>
        <v>2</v>
      </c>
    </row>
    <row r="23" spans="2:10" x14ac:dyDescent="0.3">
      <c r="B23" s="1" t="s">
        <v>7</v>
      </c>
      <c r="E23" s="4">
        <f>C12</f>
        <v>45</v>
      </c>
      <c r="G23" s="2" t="s">
        <v>19</v>
      </c>
      <c r="J23" s="2">
        <f>SUM(J20:J22)</f>
        <v>461</v>
      </c>
    </row>
    <row r="24" spans="2:10" x14ac:dyDescent="0.3">
      <c r="B24" s="7" t="s">
        <v>26</v>
      </c>
      <c r="C24" s="7"/>
      <c r="D24" s="7"/>
      <c r="E24" s="8">
        <f>J23-E20-E21-E22-E23</f>
        <v>209</v>
      </c>
    </row>
    <row r="25" spans="2:10" x14ac:dyDescent="0.3">
      <c r="B25" s="2" t="s">
        <v>27</v>
      </c>
      <c r="D25" s="2"/>
      <c r="E25" s="2">
        <f>SUM(E20:E24)</f>
        <v>461</v>
      </c>
    </row>
    <row r="26" spans="2:10" x14ac:dyDescent="0.3">
      <c r="G26" s="2" t="s">
        <v>28</v>
      </c>
      <c r="J26" s="1" t="str">
        <f>IF(J23=E25, "TRUE", "FALSE")</f>
        <v>TRUE</v>
      </c>
    </row>
    <row r="28" spans="2:10" x14ac:dyDescent="0.3">
      <c r="B28" s="43" t="s">
        <v>101</v>
      </c>
      <c r="C28" s="45"/>
      <c r="D28" s="45"/>
      <c r="E28" s="46" t="s">
        <v>34</v>
      </c>
      <c r="F28" s="47" t="s">
        <v>33</v>
      </c>
      <c r="G28" s="47" t="s">
        <v>32</v>
      </c>
      <c r="H28" s="47" t="s">
        <v>31</v>
      </c>
      <c r="I28" s="47" t="s">
        <v>30</v>
      </c>
      <c r="J28" s="47" t="s">
        <v>29</v>
      </c>
    </row>
    <row r="29" spans="2:10" x14ac:dyDescent="0.3">
      <c r="B29" s="1" t="s">
        <v>35</v>
      </c>
      <c r="E29" s="9">
        <f>H3</f>
        <v>150</v>
      </c>
      <c r="F29" s="10">
        <f>E29*(1+F30)</f>
        <v>165</v>
      </c>
      <c r="G29" s="10">
        <f t="shared" ref="G29:J29" si="0">F29*(1+G30)</f>
        <v>179.85000000000002</v>
      </c>
      <c r="H29" s="10">
        <f t="shared" si="0"/>
        <v>194.23800000000003</v>
      </c>
      <c r="I29" s="10">
        <f t="shared" si="0"/>
        <v>207.83466000000004</v>
      </c>
      <c r="J29" s="10">
        <f t="shared" si="0"/>
        <v>220.30473960000006</v>
      </c>
    </row>
    <row r="30" spans="2:10" x14ac:dyDescent="0.3">
      <c r="B30" s="11" t="s">
        <v>48</v>
      </c>
      <c r="E30" s="12"/>
      <c r="F30" s="57">
        <v>0.1</v>
      </c>
      <c r="G30" s="57">
        <f>F30-($F30-$J30)/4</f>
        <v>0.09</v>
      </c>
      <c r="H30" s="57">
        <f t="shared" ref="H30:I30" si="1">G30-($F30-$J30)/4</f>
        <v>7.9999999999999988E-2</v>
      </c>
      <c r="I30" s="57">
        <f t="shared" si="1"/>
        <v>6.9999999999999979E-2</v>
      </c>
      <c r="J30" s="57">
        <v>0.06</v>
      </c>
    </row>
    <row r="31" spans="2:10" x14ac:dyDescent="0.3">
      <c r="E31" s="12"/>
      <c r="F31" s="13"/>
      <c r="G31" s="13"/>
      <c r="H31" s="13"/>
      <c r="I31" s="13"/>
      <c r="J31" s="13"/>
    </row>
    <row r="32" spans="2:10" x14ac:dyDescent="0.3">
      <c r="B32" s="1" t="s">
        <v>36</v>
      </c>
      <c r="E32" s="12">
        <f>C3</f>
        <v>45</v>
      </c>
      <c r="F32" s="10">
        <f>F29*F33</f>
        <v>50.324999999999996</v>
      </c>
      <c r="G32" s="10">
        <f t="shared" ref="G32:J32" si="2">G29*G33</f>
        <v>55.75350000000001</v>
      </c>
      <c r="H32" s="10">
        <f t="shared" si="2"/>
        <v>61.184970000000007</v>
      </c>
      <c r="I32" s="10">
        <f t="shared" si="2"/>
        <v>66.507091200000019</v>
      </c>
      <c r="J32" s="10">
        <f t="shared" si="2"/>
        <v>71.599040370000026</v>
      </c>
    </row>
    <row r="33" spans="2:12" x14ac:dyDescent="0.3">
      <c r="B33" s="11" t="s">
        <v>6</v>
      </c>
      <c r="E33" s="14">
        <f>H4</f>
        <v>0.3</v>
      </c>
      <c r="F33" s="15">
        <f>E33+0.5%</f>
        <v>0.30499999999999999</v>
      </c>
      <c r="G33" s="15">
        <f t="shared" ref="G33:J33" si="3">F33+0.5%</f>
        <v>0.31</v>
      </c>
      <c r="H33" s="15">
        <f t="shared" si="3"/>
        <v>0.315</v>
      </c>
      <c r="I33" s="15">
        <f t="shared" si="3"/>
        <v>0.32</v>
      </c>
      <c r="J33" s="15">
        <f t="shared" si="3"/>
        <v>0.32500000000000001</v>
      </c>
    </row>
    <row r="34" spans="2:12" x14ac:dyDescent="0.3">
      <c r="E34" s="12"/>
      <c r="F34" s="13"/>
      <c r="G34" s="13"/>
      <c r="H34" s="13"/>
      <c r="I34" s="13"/>
      <c r="J34" s="13"/>
    </row>
    <row r="35" spans="2:12" x14ac:dyDescent="0.3">
      <c r="B35" s="1" t="s">
        <v>37</v>
      </c>
      <c r="E35" s="12"/>
      <c r="F35" s="10">
        <f>F36*F29</f>
        <v>8.25</v>
      </c>
      <c r="G35" s="10">
        <f t="shared" ref="G35:J35" si="4">G36*G29</f>
        <v>8.9925000000000015</v>
      </c>
      <c r="H35" s="10">
        <f t="shared" si="4"/>
        <v>9.7119000000000018</v>
      </c>
      <c r="I35" s="10">
        <f t="shared" si="4"/>
        <v>10.391733000000002</v>
      </c>
      <c r="J35" s="10">
        <f t="shared" si="4"/>
        <v>11.015236980000005</v>
      </c>
    </row>
    <row r="36" spans="2:12" x14ac:dyDescent="0.3">
      <c r="B36" s="11" t="s">
        <v>42</v>
      </c>
      <c r="E36" s="12"/>
      <c r="F36" s="57">
        <v>0.05</v>
      </c>
      <c r="G36" s="57">
        <v>0.05</v>
      </c>
      <c r="H36" s="57">
        <v>0.05</v>
      </c>
      <c r="I36" s="57">
        <v>0.05</v>
      </c>
      <c r="J36" s="57">
        <v>0.05</v>
      </c>
      <c r="L36" s="16"/>
    </row>
    <row r="37" spans="2:12" x14ac:dyDescent="0.3">
      <c r="E37" s="12"/>
      <c r="F37" s="13"/>
      <c r="G37" s="13"/>
      <c r="H37" s="13"/>
      <c r="I37" s="13"/>
      <c r="J37" s="13"/>
    </row>
    <row r="38" spans="2:12" x14ac:dyDescent="0.3">
      <c r="B38" s="1" t="s">
        <v>8</v>
      </c>
      <c r="E38" s="12"/>
      <c r="F38" s="10">
        <f>F75+F80+F87</f>
        <v>15.75</v>
      </c>
      <c r="G38" s="10">
        <f t="shared" ref="G38:J38" si="5">G75+G80+G87</f>
        <v>15.554625000000001</v>
      </c>
      <c r="H38" s="10">
        <f t="shared" si="5"/>
        <v>15.256501875000001</v>
      </c>
      <c r="I38" s="10">
        <f t="shared" si="5"/>
        <v>14.855234390625</v>
      </c>
      <c r="J38" s="10">
        <f t="shared" si="5"/>
        <v>14.354059697296876</v>
      </c>
    </row>
    <row r="39" spans="2:12" x14ac:dyDescent="0.3">
      <c r="E39" s="12"/>
      <c r="F39" s="13"/>
      <c r="G39" s="13"/>
      <c r="H39" s="13"/>
      <c r="I39" s="13"/>
      <c r="J39" s="13"/>
    </row>
    <row r="40" spans="2:12" x14ac:dyDescent="0.3">
      <c r="B40" s="1" t="s">
        <v>38</v>
      </c>
      <c r="E40" s="12">
        <f>E32-E35-E38</f>
        <v>45</v>
      </c>
      <c r="F40" s="10">
        <f>F32-F35-F38</f>
        <v>26.324999999999996</v>
      </c>
      <c r="G40" s="10">
        <f t="shared" ref="G40:J40" si="6">G32-G35-G38</f>
        <v>31.206375000000008</v>
      </c>
      <c r="H40" s="10">
        <f t="shared" si="6"/>
        <v>36.216568125000009</v>
      </c>
      <c r="I40" s="10">
        <f t="shared" si="6"/>
        <v>41.260123809375017</v>
      </c>
      <c r="J40" s="10">
        <f t="shared" si="6"/>
        <v>46.229743692703146</v>
      </c>
    </row>
    <row r="41" spans="2:12" x14ac:dyDescent="0.3">
      <c r="B41" s="7" t="s">
        <v>39</v>
      </c>
      <c r="C41" s="7"/>
      <c r="D41" s="7"/>
      <c r="E41" s="17">
        <f>E40*$H11</f>
        <v>13.5</v>
      </c>
      <c r="F41" s="18">
        <f t="shared" ref="F41:J41" si="7">F40*$H11</f>
        <v>7.8974999999999982</v>
      </c>
      <c r="G41" s="18">
        <f t="shared" si="7"/>
        <v>9.3619125000000025</v>
      </c>
      <c r="H41" s="18">
        <f t="shared" si="7"/>
        <v>10.864970437500002</v>
      </c>
      <c r="I41" s="18">
        <f t="shared" si="7"/>
        <v>12.378037142812504</v>
      </c>
      <c r="J41" s="18">
        <f t="shared" si="7"/>
        <v>13.868923107810943</v>
      </c>
    </row>
    <row r="42" spans="2:12" x14ac:dyDescent="0.3">
      <c r="B42" s="2" t="s">
        <v>40</v>
      </c>
      <c r="C42" s="2"/>
      <c r="D42" s="2"/>
      <c r="E42" s="19">
        <f>E40-E41</f>
        <v>31.5</v>
      </c>
      <c r="F42" s="20">
        <f t="shared" ref="F42:J42" si="8">F40-F41</f>
        <v>18.427499999999998</v>
      </c>
      <c r="G42" s="20">
        <f t="shared" si="8"/>
        <v>21.844462500000006</v>
      </c>
      <c r="H42" s="20">
        <f t="shared" si="8"/>
        <v>25.351597687500007</v>
      </c>
      <c r="I42" s="20">
        <f t="shared" si="8"/>
        <v>28.882086666562515</v>
      </c>
      <c r="J42" s="20">
        <f t="shared" si="8"/>
        <v>32.360820584892203</v>
      </c>
    </row>
    <row r="43" spans="2:12" x14ac:dyDescent="0.3">
      <c r="E43" s="21"/>
    </row>
    <row r="44" spans="2:12" x14ac:dyDescent="0.3">
      <c r="B44" s="43" t="s">
        <v>43</v>
      </c>
      <c r="C44" s="45"/>
      <c r="D44" s="45"/>
      <c r="E44" s="46" t="s">
        <v>34</v>
      </c>
      <c r="F44" s="47" t="s">
        <v>33</v>
      </c>
      <c r="G44" s="47" t="s">
        <v>32</v>
      </c>
      <c r="H44" s="47" t="s">
        <v>31</v>
      </c>
      <c r="I44" s="47" t="s">
        <v>30</v>
      </c>
      <c r="J44" s="47" t="s">
        <v>29</v>
      </c>
    </row>
    <row r="45" spans="2:12" x14ac:dyDescent="0.3">
      <c r="B45" s="1" t="s">
        <v>40</v>
      </c>
      <c r="E45" s="12">
        <f>E42</f>
        <v>31.5</v>
      </c>
      <c r="F45" s="10">
        <f t="shared" ref="F45:J45" si="9">F42</f>
        <v>18.427499999999998</v>
      </c>
      <c r="G45" s="10">
        <f t="shared" si="9"/>
        <v>21.844462500000006</v>
      </c>
      <c r="H45" s="10">
        <f t="shared" si="9"/>
        <v>25.351597687500007</v>
      </c>
      <c r="I45" s="10">
        <f t="shared" si="9"/>
        <v>28.882086666562515</v>
      </c>
      <c r="J45" s="10">
        <f t="shared" si="9"/>
        <v>32.360820584892203</v>
      </c>
    </row>
    <row r="46" spans="2:12" x14ac:dyDescent="0.3">
      <c r="E46" s="12"/>
      <c r="F46" s="13"/>
      <c r="G46" s="13"/>
      <c r="H46" s="13"/>
      <c r="I46" s="13"/>
      <c r="J46" s="13"/>
    </row>
    <row r="47" spans="2:12" x14ac:dyDescent="0.3">
      <c r="B47" s="1" t="s">
        <v>64</v>
      </c>
      <c r="E47" s="12"/>
      <c r="F47" s="10">
        <f>F80+F87</f>
        <v>9</v>
      </c>
      <c r="G47" s="10">
        <f t="shared" ref="G47:J47" si="10">G80+G87</f>
        <v>9.9359999999999999</v>
      </c>
      <c r="H47" s="10">
        <f t="shared" si="10"/>
        <v>10.972799999999999</v>
      </c>
      <c r="I47" s="10">
        <f t="shared" si="10"/>
        <v>12.1215744</v>
      </c>
      <c r="J47" s="10">
        <f t="shared" si="10"/>
        <v>13.394764800000001</v>
      </c>
    </row>
    <row r="48" spans="2:12" x14ac:dyDescent="0.3">
      <c r="E48" s="12"/>
      <c r="F48" s="13"/>
      <c r="G48" s="13"/>
      <c r="H48" s="13"/>
      <c r="I48" s="13"/>
      <c r="J48" s="13"/>
    </row>
    <row r="49" spans="2:10" x14ac:dyDescent="0.3">
      <c r="B49" s="1" t="s">
        <v>37</v>
      </c>
      <c r="E49" s="22"/>
      <c r="F49" s="10">
        <f t="shared" ref="F49:J49" si="11">F35</f>
        <v>8.25</v>
      </c>
      <c r="G49" s="10">
        <f t="shared" si="11"/>
        <v>8.9925000000000015</v>
      </c>
      <c r="H49" s="10">
        <f t="shared" si="11"/>
        <v>9.7119000000000018</v>
      </c>
      <c r="I49" s="10">
        <f t="shared" si="11"/>
        <v>10.391733000000002</v>
      </c>
      <c r="J49" s="10">
        <f t="shared" si="11"/>
        <v>11.015236980000005</v>
      </c>
    </row>
    <row r="50" spans="2:10" x14ac:dyDescent="0.3">
      <c r="B50" s="1" t="s">
        <v>44</v>
      </c>
      <c r="E50" s="12"/>
      <c r="F50" s="13">
        <f>(F51*(F29-E29))+(F52*(F29-E29))-(F53*(F29-E29))</f>
        <v>1.5</v>
      </c>
      <c r="G50" s="10">
        <f t="shared" ref="G50:J50" si="12">(G51*(G29-F29))+(G52*(G29-F29))-(G53*(G29-F29))</f>
        <v>1.4850000000000025</v>
      </c>
      <c r="H50" s="10">
        <f t="shared" si="12"/>
        <v>1.4388000000000005</v>
      </c>
      <c r="I50" s="10">
        <f t="shared" si="12"/>
        <v>1.3596660000000016</v>
      </c>
      <c r="J50" s="10">
        <f t="shared" si="12"/>
        <v>1.2470079600000021</v>
      </c>
    </row>
    <row r="51" spans="2:10" x14ac:dyDescent="0.3">
      <c r="B51" s="11" t="s">
        <v>45</v>
      </c>
      <c r="E51" s="14"/>
      <c r="F51" s="57">
        <v>0.1</v>
      </c>
      <c r="G51" s="57">
        <v>0.1</v>
      </c>
      <c r="H51" s="57">
        <v>0.1</v>
      </c>
      <c r="I51" s="57">
        <v>0.1</v>
      </c>
      <c r="J51" s="57">
        <v>0.1</v>
      </c>
    </row>
    <row r="52" spans="2:10" x14ac:dyDescent="0.3">
      <c r="B52" s="11" t="s">
        <v>46</v>
      </c>
      <c r="E52" s="14"/>
      <c r="F52" s="57">
        <v>0.05</v>
      </c>
      <c r="G52" s="57">
        <v>0.05</v>
      </c>
      <c r="H52" s="57">
        <v>0.05</v>
      </c>
      <c r="I52" s="57">
        <v>0.05</v>
      </c>
      <c r="J52" s="57">
        <v>0.05</v>
      </c>
    </row>
    <row r="53" spans="2:10" x14ac:dyDescent="0.3">
      <c r="B53" s="11" t="s">
        <v>47</v>
      </c>
      <c r="E53" s="14"/>
      <c r="F53" s="57">
        <v>0.05</v>
      </c>
      <c r="G53" s="57">
        <v>0.05</v>
      </c>
      <c r="H53" s="57">
        <v>0.05</v>
      </c>
      <c r="I53" s="57">
        <v>0.05</v>
      </c>
      <c r="J53" s="57">
        <v>0.05</v>
      </c>
    </row>
    <row r="54" spans="2:10" x14ac:dyDescent="0.3">
      <c r="E54" s="12"/>
      <c r="F54" s="13"/>
      <c r="G54" s="13"/>
      <c r="H54" s="13"/>
      <c r="I54" s="13"/>
      <c r="J54" s="13"/>
    </row>
    <row r="55" spans="2:10" x14ac:dyDescent="0.3">
      <c r="B55" s="1" t="s">
        <v>49</v>
      </c>
      <c r="E55" s="12"/>
      <c r="F55" s="10">
        <f>F56*F29</f>
        <v>11.55</v>
      </c>
      <c r="G55" s="10">
        <f t="shared" ref="G55:J55" si="13">G56*G29</f>
        <v>12.589500000000003</v>
      </c>
      <c r="H55" s="10">
        <f t="shared" si="13"/>
        <v>13.596660000000004</v>
      </c>
      <c r="I55" s="10">
        <f t="shared" si="13"/>
        <v>14.548426200000005</v>
      </c>
      <c r="J55" s="10">
        <f t="shared" si="13"/>
        <v>15.421331772000006</v>
      </c>
    </row>
    <row r="56" spans="2:10" x14ac:dyDescent="0.3">
      <c r="B56" s="11" t="s">
        <v>42</v>
      </c>
      <c r="E56" s="12"/>
      <c r="F56" s="57">
        <v>7.0000000000000007E-2</v>
      </c>
      <c r="G56" s="57">
        <v>7.0000000000000007E-2</v>
      </c>
      <c r="H56" s="57">
        <v>7.0000000000000007E-2</v>
      </c>
      <c r="I56" s="57">
        <v>7.0000000000000007E-2</v>
      </c>
      <c r="J56" s="57">
        <v>7.0000000000000007E-2</v>
      </c>
    </row>
    <row r="57" spans="2:10" x14ac:dyDescent="0.3">
      <c r="E57" s="12"/>
      <c r="F57" s="13"/>
      <c r="G57" s="13"/>
      <c r="H57" s="13"/>
      <c r="I57" s="13"/>
      <c r="J57" s="13"/>
    </row>
    <row r="58" spans="2:10" x14ac:dyDescent="0.3">
      <c r="B58" s="2" t="s">
        <v>50</v>
      </c>
      <c r="C58" s="2"/>
      <c r="D58" s="2"/>
      <c r="E58" s="19"/>
      <c r="F58" s="20">
        <f>F45+F47+F49-F50-F55</f>
        <v>22.627499999999994</v>
      </c>
      <c r="G58" s="20">
        <f t="shared" ref="G58:J58" si="14">G45+G47+G49-G50-G55</f>
        <v>26.698462500000005</v>
      </c>
      <c r="H58" s="20">
        <f t="shared" si="14"/>
        <v>31.000837687500006</v>
      </c>
      <c r="I58" s="20">
        <f t="shared" si="14"/>
        <v>35.487301866562504</v>
      </c>
      <c r="J58" s="20">
        <f t="shared" si="14"/>
        <v>40.10248263289219</v>
      </c>
    </row>
    <row r="59" spans="2:10" x14ac:dyDescent="0.3">
      <c r="E59" s="21"/>
    </row>
    <row r="60" spans="2:10" x14ac:dyDescent="0.3">
      <c r="B60" s="43" t="s">
        <v>51</v>
      </c>
      <c r="C60" s="43"/>
      <c r="D60" s="43"/>
      <c r="E60" s="48">
        <v>0</v>
      </c>
      <c r="F60" s="49">
        <v>1</v>
      </c>
      <c r="G60" s="50">
        <v>2</v>
      </c>
      <c r="H60" s="51">
        <v>3</v>
      </c>
      <c r="I60" s="52">
        <v>4</v>
      </c>
      <c r="J60" s="53">
        <v>5</v>
      </c>
    </row>
    <row r="61" spans="2:10" x14ac:dyDescent="0.3">
      <c r="E61" s="21"/>
    </row>
    <row r="62" spans="2:10" x14ac:dyDescent="0.3">
      <c r="B62" s="23" t="s">
        <v>52</v>
      </c>
      <c r="C62" s="7"/>
      <c r="D62" s="7"/>
      <c r="E62" s="24"/>
      <c r="F62" s="7"/>
      <c r="G62" s="7"/>
      <c r="H62" s="7"/>
      <c r="I62" s="7"/>
      <c r="J62" s="7"/>
    </row>
    <row r="63" spans="2:10" x14ac:dyDescent="0.3">
      <c r="B63" s="1" t="s">
        <v>53</v>
      </c>
      <c r="E63" s="21"/>
      <c r="F63" s="1">
        <f>H9</f>
        <v>2</v>
      </c>
      <c r="G63" s="16">
        <f>F67-F73+$H9</f>
        <v>2</v>
      </c>
      <c r="H63" s="16">
        <f t="shared" ref="H63:J63" si="15">G67-G73+$H9</f>
        <v>2</v>
      </c>
      <c r="I63" s="16">
        <f t="shared" si="15"/>
        <v>2</v>
      </c>
      <c r="J63" s="16">
        <f t="shared" si="15"/>
        <v>2</v>
      </c>
    </row>
    <row r="64" spans="2:10" x14ac:dyDescent="0.3">
      <c r="B64" s="1" t="s">
        <v>50</v>
      </c>
      <c r="E64" s="21"/>
      <c r="F64" s="16">
        <f>F58</f>
        <v>22.627499999999994</v>
      </c>
      <c r="G64" s="16">
        <f t="shared" ref="G64:J64" si="16">G58</f>
        <v>26.698462500000005</v>
      </c>
      <c r="H64" s="16">
        <f t="shared" si="16"/>
        <v>31.000837687500006</v>
      </c>
      <c r="I64" s="16">
        <f t="shared" si="16"/>
        <v>35.487301866562504</v>
      </c>
      <c r="J64" s="16">
        <f t="shared" si="16"/>
        <v>40.10248263289219</v>
      </c>
    </row>
    <row r="65" spans="2:10" x14ac:dyDescent="0.3">
      <c r="B65" s="1" t="s">
        <v>54</v>
      </c>
      <c r="E65" s="21"/>
      <c r="F65" s="1">
        <f>F71</f>
        <v>13.5</v>
      </c>
      <c r="G65" s="16">
        <f t="shared" ref="G65:J65" si="17">G71</f>
        <v>16.855875000000001</v>
      </c>
      <c r="H65" s="16">
        <f t="shared" si="17"/>
        <v>17.134807500000001</v>
      </c>
      <c r="I65" s="16">
        <f t="shared" si="17"/>
        <v>13.668299953124999</v>
      </c>
      <c r="J65" s="16">
        <f t="shared" si="17"/>
        <v>5.7557693837812467</v>
      </c>
    </row>
    <row r="66" spans="2:10" x14ac:dyDescent="0.3">
      <c r="B66" s="7" t="s">
        <v>55</v>
      </c>
      <c r="C66" s="7"/>
      <c r="D66" s="7"/>
      <c r="E66" s="24"/>
      <c r="F66" s="7">
        <f>$H9</f>
        <v>2</v>
      </c>
      <c r="G66" s="7">
        <f t="shared" ref="G66:J66" si="18">$H9</f>
        <v>2</v>
      </c>
      <c r="H66" s="7">
        <f t="shared" si="18"/>
        <v>2</v>
      </c>
      <c r="I66" s="7">
        <f t="shared" si="18"/>
        <v>2</v>
      </c>
      <c r="J66" s="7">
        <f t="shared" si="18"/>
        <v>2</v>
      </c>
    </row>
    <row r="67" spans="2:10" x14ac:dyDescent="0.3">
      <c r="B67" s="2" t="s">
        <v>56</v>
      </c>
      <c r="C67" s="2"/>
      <c r="D67" s="2"/>
      <c r="E67" s="25"/>
      <c r="F67" s="26">
        <f>F63+F64-F65-F66</f>
        <v>9.1274999999999942</v>
      </c>
      <c r="G67" s="26">
        <f t="shared" ref="G67:J67" si="19">G63+G64-G65-G66</f>
        <v>9.842587500000004</v>
      </c>
      <c r="H67" s="26">
        <f t="shared" si="19"/>
        <v>13.866030187500009</v>
      </c>
      <c r="I67" s="26">
        <f t="shared" si="19"/>
        <v>21.819001913437504</v>
      </c>
      <c r="J67" s="26">
        <f t="shared" si="19"/>
        <v>34.346713249110941</v>
      </c>
    </row>
    <row r="68" spans="2:10" x14ac:dyDescent="0.3">
      <c r="E68" s="21"/>
    </row>
    <row r="69" spans="2:10" x14ac:dyDescent="0.3">
      <c r="B69" s="23" t="s">
        <v>57</v>
      </c>
      <c r="C69" s="7"/>
      <c r="D69" s="7"/>
      <c r="E69" s="24"/>
      <c r="F69" s="7"/>
      <c r="G69" s="7"/>
      <c r="H69" s="7"/>
      <c r="I69" s="7"/>
      <c r="J69" s="7"/>
    </row>
    <row r="70" spans="2:10" x14ac:dyDescent="0.3">
      <c r="B70" s="1" t="s">
        <v>58</v>
      </c>
      <c r="E70" s="21"/>
      <c r="F70" s="1">
        <f>E20</f>
        <v>135</v>
      </c>
      <c r="G70" s="16">
        <f>F74</f>
        <v>112.3725</v>
      </c>
      <c r="H70" s="16">
        <f t="shared" ref="H70:J70" si="20">G74</f>
        <v>85.674037499999997</v>
      </c>
      <c r="I70" s="16">
        <f t="shared" si="20"/>
        <v>54.673199812499995</v>
      </c>
      <c r="J70" s="16">
        <f t="shared" si="20"/>
        <v>19.185897945937491</v>
      </c>
    </row>
    <row r="71" spans="2:10" x14ac:dyDescent="0.3">
      <c r="B71" s="1" t="s">
        <v>54</v>
      </c>
      <c r="E71" s="21"/>
      <c r="F71" s="1">
        <f>F72*F70</f>
        <v>13.5</v>
      </c>
      <c r="G71" s="16">
        <f t="shared" ref="G71:J71" si="21">G72*G70</f>
        <v>16.855875000000001</v>
      </c>
      <c r="H71" s="16">
        <f t="shared" si="21"/>
        <v>17.134807500000001</v>
      </c>
      <c r="I71" s="16">
        <f t="shared" si="21"/>
        <v>13.668299953124999</v>
      </c>
      <c r="J71" s="16">
        <f t="shared" si="21"/>
        <v>5.7557693837812467</v>
      </c>
    </row>
    <row r="72" spans="2:10" x14ac:dyDescent="0.3">
      <c r="B72" s="11" t="s">
        <v>61</v>
      </c>
      <c r="E72" s="21"/>
      <c r="F72" s="58">
        <v>0.1</v>
      </c>
      <c r="G72" s="58">
        <v>0.15</v>
      </c>
      <c r="H72" s="58">
        <v>0.2</v>
      </c>
      <c r="I72" s="58">
        <v>0.25</v>
      </c>
      <c r="J72" s="58">
        <v>0.3</v>
      </c>
    </row>
    <row r="73" spans="2:10" x14ac:dyDescent="0.3">
      <c r="B73" s="7" t="s">
        <v>59</v>
      </c>
      <c r="C73" s="7"/>
      <c r="D73" s="7"/>
      <c r="E73" s="24"/>
      <c r="F73" s="27">
        <f>MIN((F70-F71),F67)</f>
        <v>9.1274999999999942</v>
      </c>
      <c r="G73" s="27">
        <f t="shared" ref="G73:J73" si="22">MIN((G70-G71),G67)</f>
        <v>9.842587500000004</v>
      </c>
      <c r="H73" s="27">
        <f t="shared" si="22"/>
        <v>13.866030187500009</v>
      </c>
      <c r="I73" s="27">
        <f t="shared" si="22"/>
        <v>21.819001913437504</v>
      </c>
      <c r="J73" s="27">
        <f t="shared" si="22"/>
        <v>13.430128562156245</v>
      </c>
    </row>
    <row r="74" spans="2:10" x14ac:dyDescent="0.3">
      <c r="B74" s="2" t="s">
        <v>60</v>
      </c>
      <c r="E74" s="21"/>
      <c r="F74" s="26">
        <f>F70-F71-F73</f>
        <v>112.3725</v>
      </c>
      <c r="G74" s="26">
        <f t="shared" ref="G74:J74" si="23">G70-G71-G73</f>
        <v>85.674037499999997</v>
      </c>
      <c r="H74" s="26">
        <f t="shared" si="23"/>
        <v>54.673199812499995</v>
      </c>
      <c r="I74" s="26">
        <f t="shared" si="23"/>
        <v>19.185897945937491</v>
      </c>
      <c r="J74" s="26">
        <f t="shared" si="23"/>
        <v>0</v>
      </c>
    </row>
    <row r="75" spans="2:10" x14ac:dyDescent="0.3">
      <c r="B75" s="1" t="s">
        <v>62</v>
      </c>
      <c r="E75" s="21"/>
      <c r="F75" s="16">
        <f>F76*F70</f>
        <v>6.75</v>
      </c>
      <c r="G75" s="16">
        <f t="shared" ref="G75:J75" si="24">G76*G70</f>
        <v>5.6186250000000006</v>
      </c>
      <c r="H75" s="16">
        <f t="shared" si="24"/>
        <v>4.2837018750000002</v>
      </c>
      <c r="I75" s="16">
        <f t="shared" si="24"/>
        <v>2.7336599906250001</v>
      </c>
      <c r="J75" s="16">
        <f t="shared" si="24"/>
        <v>0.95929489729687456</v>
      </c>
    </row>
    <row r="76" spans="2:10" x14ac:dyDescent="0.3">
      <c r="B76" s="11" t="s">
        <v>61</v>
      </c>
      <c r="E76" s="21"/>
      <c r="F76" s="58">
        <v>0.05</v>
      </c>
      <c r="G76" s="58">
        <v>0.05</v>
      </c>
      <c r="H76" s="58">
        <v>0.05</v>
      </c>
      <c r="I76" s="58">
        <v>0.05</v>
      </c>
      <c r="J76" s="58">
        <v>0.05</v>
      </c>
    </row>
    <row r="77" spans="2:10" x14ac:dyDescent="0.3">
      <c r="E77" s="21"/>
    </row>
    <row r="78" spans="2:10" x14ac:dyDescent="0.3">
      <c r="B78" s="23" t="s">
        <v>21</v>
      </c>
      <c r="C78" s="7"/>
      <c r="D78" s="7"/>
      <c r="E78" s="24"/>
      <c r="F78" s="7"/>
      <c r="G78" s="7"/>
      <c r="H78" s="7"/>
      <c r="I78" s="7"/>
      <c r="J78" s="7"/>
    </row>
    <row r="79" spans="2:10" x14ac:dyDescent="0.3">
      <c r="B79" s="1" t="s">
        <v>58</v>
      </c>
      <c r="E79" s="21"/>
      <c r="F79" s="16">
        <f>E21</f>
        <v>45</v>
      </c>
      <c r="G79" s="16">
        <f>F83</f>
        <v>48.6</v>
      </c>
      <c r="H79" s="16">
        <f t="shared" ref="H79:J79" si="25">G83</f>
        <v>52.488</v>
      </c>
      <c r="I79" s="16">
        <f t="shared" si="25"/>
        <v>56.687039999999996</v>
      </c>
      <c r="J79" s="16">
        <f t="shared" si="25"/>
        <v>61.222003199999996</v>
      </c>
    </row>
    <row r="80" spans="2:10" x14ac:dyDescent="0.3">
      <c r="B80" s="1" t="s">
        <v>64</v>
      </c>
      <c r="E80" s="21"/>
      <c r="F80" s="16">
        <f>F81*F79</f>
        <v>3.6</v>
      </c>
      <c r="G80" s="16">
        <f t="shared" ref="G80:J80" si="26">G81*G79</f>
        <v>3.8880000000000003</v>
      </c>
      <c r="H80" s="16">
        <f t="shared" si="26"/>
        <v>4.1990400000000001</v>
      </c>
      <c r="I80" s="16">
        <f t="shared" si="26"/>
        <v>4.5349632</v>
      </c>
      <c r="J80" s="16">
        <f t="shared" si="26"/>
        <v>4.8977602559999998</v>
      </c>
    </row>
    <row r="81" spans="2:10" x14ac:dyDescent="0.3">
      <c r="B81" s="11" t="s">
        <v>61</v>
      </c>
      <c r="E81" s="21"/>
      <c r="F81" s="58">
        <v>0.08</v>
      </c>
      <c r="G81" s="58">
        <v>0.08</v>
      </c>
      <c r="H81" s="58">
        <v>0.08</v>
      </c>
      <c r="I81" s="58">
        <v>0.08</v>
      </c>
      <c r="J81" s="58">
        <v>0.08</v>
      </c>
    </row>
    <row r="82" spans="2:10" x14ac:dyDescent="0.3">
      <c r="B82" s="28" t="s">
        <v>65</v>
      </c>
      <c r="C82" s="7"/>
      <c r="D82" s="7"/>
      <c r="E82" s="24"/>
      <c r="F82" s="29">
        <f t="shared" ref="F82:I82" si="27">IF(AND($H15=F60, F32&gt;1.4*$E32), F79+F80, 0)</f>
        <v>0</v>
      </c>
      <c r="G82" s="29">
        <f t="shared" si="27"/>
        <v>0</v>
      </c>
      <c r="H82" s="29">
        <f t="shared" si="27"/>
        <v>0</v>
      </c>
      <c r="I82" s="29">
        <f t="shared" si="27"/>
        <v>0</v>
      </c>
      <c r="J82" s="29">
        <f>IF(AND($H15=J60, J32&gt;1.4*$E32), J79+J80, 0)</f>
        <v>66.119763456000001</v>
      </c>
    </row>
    <row r="83" spans="2:10" x14ac:dyDescent="0.3">
      <c r="B83" s="2" t="s">
        <v>60</v>
      </c>
      <c r="C83" s="2"/>
      <c r="D83" s="2"/>
      <c r="E83" s="25"/>
      <c r="F83" s="26">
        <f>F79+F80-F82</f>
        <v>48.6</v>
      </c>
      <c r="G83" s="26">
        <f t="shared" ref="G83:J83" si="28">G79+G80-G82</f>
        <v>52.488</v>
      </c>
      <c r="H83" s="26">
        <f t="shared" si="28"/>
        <v>56.687039999999996</v>
      </c>
      <c r="I83" s="26">
        <f t="shared" si="28"/>
        <v>61.222003199999996</v>
      </c>
      <c r="J83" s="26">
        <f t="shared" si="28"/>
        <v>0</v>
      </c>
    </row>
    <row r="84" spans="2:10" x14ac:dyDescent="0.3">
      <c r="E84" s="21"/>
    </row>
    <row r="85" spans="2:10" x14ac:dyDescent="0.3">
      <c r="B85" s="23" t="s">
        <v>63</v>
      </c>
      <c r="C85" s="7"/>
      <c r="D85" s="7"/>
      <c r="E85" s="24"/>
      <c r="F85" s="7"/>
      <c r="G85" s="7"/>
      <c r="H85" s="7"/>
      <c r="I85" s="7"/>
      <c r="J85" s="7"/>
    </row>
    <row r="86" spans="2:10" x14ac:dyDescent="0.3">
      <c r="B86" s="1" t="s">
        <v>58</v>
      </c>
      <c r="E86" s="21"/>
      <c r="F86" s="16">
        <f>C12</f>
        <v>45</v>
      </c>
      <c r="G86" s="16">
        <f>F89</f>
        <v>50.4</v>
      </c>
      <c r="H86" s="16">
        <f t="shared" ref="H86:J86" si="29">G89</f>
        <v>56.448</v>
      </c>
      <c r="I86" s="16">
        <f t="shared" si="29"/>
        <v>63.221760000000003</v>
      </c>
      <c r="J86" s="16">
        <f t="shared" si="29"/>
        <v>70.808371200000011</v>
      </c>
    </row>
    <row r="87" spans="2:10" x14ac:dyDescent="0.3">
      <c r="B87" s="1" t="s">
        <v>64</v>
      </c>
      <c r="E87" s="21"/>
      <c r="F87" s="16">
        <f>F88*F86</f>
        <v>5.3999999999999995</v>
      </c>
      <c r="G87" s="16">
        <f t="shared" ref="G87" si="30">G88*G86</f>
        <v>6.048</v>
      </c>
      <c r="H87" s="16">
        <f t="shared" ref="H87" si="31">H88*H86</f>
        <v>6.7737600000000002</v>
      </c>
      <c r="I87" s="16">
        <f t="shared" ref="I87" si="32">I88*I86</f>
        <v>7.5866112000000001</v>
      </c>
      <c r="J87" s="16">
        <f t="shared" ref="J87" si="33">J88*J86</f>
        <v>8.497004544000001</v>
      </c>
    </row>
    <row r="88" spans="2:10" x14ac:dyDescent="0.3">
      <c r="B88" s="30" t="s">
        <v>61</v>
      </c>
      <c r="C88" s="7"/>
      <c r="D88" s="7"/>
      <c r="E88" s="24"/>
      <c r="F88" s="59">
        <v>0.12</v>
      </c>
      <c r="G88" s="59">
        <v>0.12</v>
      </c>
      <c r="H88" s="59">
        <v>0.12</v>
      </c>
      <c r="I88" s="59">
        <v>0.12</v>
      </c>
      <c r="J88" s="59">
        <v>0.12</v>
      </c>
    </row>
    <row r="89" spans="2:10" x14ac:dyDescent="0.3">
      <c r="B89" s="2" t="s">
        <v>60</v>
      </c>
      <c r="C89" s="2"/>
      <c r="D89" s="2"/>
      <c r="E89" s="25"/>
      <c r="F89" s="26">
        <f>F86+F87</f>
        <v>50.4</v>
      </c>
      <c r="G89" s="26">
        <f t="shared" ref="G89:J89" si="34">G86+G87</f>
        <v>56.448</v>
      </c>
      <c r="H89" s="26">
        <f t="shared" si="34"/>
        <v>63.221760000000003</v>
      </c>
      <c r="I89" s="26">
        <f t="shared" si="34"/>
        <v>70.808371200000011</v>
      </c>
      <c r="J89" s="26">
        <f t="shared" si="34"/>
        <v>79.305375744000017</v>
      </c>
    </row>
    <row r="90" spans="2:10" x14ac:dyDescent="0.3">
      <c r="E90" s="21"/>
    </row>
    <row r="91" spans="2:10" x14ac:dyDescent="0.3">
      <c r="B91" s="43" t="s">
        <v>66</v>
      </c>
      <c r="C91" s="45"/>
      <c r="D91" s="45"/>
      <c r="E91" s="48">
        <v>0</v>
      </c>
      <c r="F91" s="49">
        <v>1</v>
      </c>
      <c r="G91" s="50">
        <v>2</v>
      </c>
      <c r="H91" s="51">
        <v>3</v>
      </c>
      <c r="I91" s="52">
        <v>4</v>
      </c>
      <c r="J91" s="53">
        <v>5</v>
      </c>
    </row>
    <row r="92" spans="2:10" x14ac:dyDescent="0.3">
      <c r="E92" s="21"/>
    </row>
    <row r="93" spans="2:10" x14ac:dyDescent="0.3">
      <c r="B93" s="1" t="s">
        <v>67</v>
      </c>
      <c r="E93" s="21"/>
      <c r="F93" s="16">
        <f>F32</f>
        <v>50.324999999999996</v>
      </c>
      <c r="G93" s="16">
        <f t="shared" ref="G93:J93" si="35">G32</f>
        <v>55.75350000000001</v>
      </c>
      <c r="H93" s="16">
        <f t="shared" si="35"/>
        <v>61.184970000000007</v>
      </c>
      <c r="I93" s="16">
        <f t="shared" si="35"/>
        <v>66.507091200000019</v>
      </c>
      <c r="J93" s="16">
        <f t="shared" si="35"/>
        <v>71.599040370000026</v>
      </c>
    </row>
    <row r="94" spans="2:10" x14ac:dyDescent="0.3">
      <c r="B94" s="1" t="s">
        <v>68</v>
      </c>
      <c r="E94" s="21"/>
      <c r="F94" s="3">
        <f>$H13</f>
        <v>10</v>
      </c>
      <c r="G94" s="3">
        <f t="shared" ref="G94:J94" si="36">$H13</f>
        <v>10</v>
      </c>
      <c r="H94" s="3">
        <f t="shared" si="36"/>
        <v>10</v>
      </c>
      <c r="I94" s="3">
        <f t="shared" si="36"/>
        <v>10</v>
      </c>
      <c r="J94" s="3">
        <f t="shared" si="36"/>
        <v>10</v>
      </c>
    </row>
    <row r="95" spans="2:10" x14ac:dyDescent="0.3">
      <c r="B95" s="2" t="s">
        <v>69</v>
      </c>
      <c r="E95" s="21"/>
      <c r="F95" s="26">
        <f>F93*F94</f>
        <v>503.24999999999994</v>
      </c>
      <c r="G95" s="26">
        <f t="shared" ref="G95:J95" si="37">G93*G94</f>
        <v>557.53500000000008</v>
      </c>
      <c r="H95" s="26">
        <f t="shared" si="37"/>
        <v>611.8497000000001</v>
      </c>
      <c r="I95" s="26">
        <f t="shared" si="37"/>
        <v>665.07091200000013</v>
      </c>
      <c r="J95" s="26">
        <f t="shared" si="37"/>
        <v>715.99040370000023</v>
      </c>
    </row>
    <row r="96" spans="2:10" x14ac:dyDescent="0.3">
      <c r="B96" s="1" t="s">
        <v>70</v>
      </c>
      <c r="E96" s="21"/>
      <c r="F96" s="16">
        <f>F74+F83+F89</f>
        <v>211.3725</v>
      </c>
      <c r="G96" s="16">
        <f t="shared" ref="G96:J96" si="38">G74+G83+G89</f>
        <v>194.6100375</v>
      </c>
      <c r="H96" s="16">
        <f t="shared" si="38"/>
        <v>174.58199981249999</v>
      </c>
      <c r="I96" s="16">
        <f t="shared" si="38"/>
        <v>151.21627234593751</v>
      </c>
      <c r="J96" s="16">
        <f t="shared" si="38"/>
        <v>79.305375744000017</v>
      </c>
    </row>
    <row r="97" spans="2:10" x14ac:dyDescent="0.3">
      <c r="B97" s="1" t="s">
        <v>71</v>
      </c>
      <c r="E97" s="21"/>
      <c r="F97" s="31">
        <f>F67-F73</f>
        <v>0</v>
      </c>
      <c r="G97" s="31">
        <f t="shared" ref="G97:J97" si="39">G67-G73</f>
        <v>0</v>
      </c>
      <c r="H97" s="31">
        <f t="shared" si="39"/>
        <v>0</v>
      </c>
      <c r="I97" s="31">
        <f t="shared" si="39"/>
        <v>0</v>
      </c>
      <c r="J97" s="16">
        <f t="shared" si="39"/>
        <v>20.916584686954696</v>
      </c>
    </row>
    <row r="98" spans="2:10" x14ac:dyDescent="0.3">
      <c r="B98" s="2" t="s">
        <v>72</v>
      </c>
      <c r="E98" s="32"/>
      <c r="F98" s="33">
        <f>F95-F96+F97</f>
        <v>291.87749999999994</v>
      </c>
      <c r="G98" s="33">
        <f t="shared" ref="G98:J98" si="40">G95-G96+G97</f>
        <v>362.92496250000011</v>
      </c>
      <c r="H98" s="33">
        <f t="shared" si="40"/>
        <v>437.26770018750011</v>
      </c>
      <c r="I98" s="33">
        <f t="shared" si="40"/>
        <v>513.85463965406257</v>
      </c>
      <c r="J98" s="33">
        <f t="shared" si="40"/>
        <v>657.60161264295493</v>
      </c>
    </row>
    <row r="99" spans="2:10" x14ac:dyDescent="0.3">
      <c r="E99" s="21"/>
    </row>
    <row r="100" spans="2:10" x14ac:dyDescent="0.3">
      <c r="B100" s="23" t="s">
        <v>73</v>
      </c>
      <c r="C100" s="7"/>
      <c r="D100" s="7"/>
      <c r="E100" s="24"/>
      <c r="F100" s="7"/>
      <c r="G100" s="7"/>
      <c r="H100" s="7"/>
      <c r="I100" s="7"/>
      <c r="J100" s="7"/>
    </row>
    <row r="101" spans="2:10" x14ac:dyDescent="0.3">
      <c r="B101" s="2" t="s">
        <v>74</v>
      </c>
      <c r="E101" s="21"/>
      <c r="F101" s="40">
        <f>F98/($E22+$E24)</f>
        <v>1.2367690677966099</v>
      </c>
      <c r="G101" s="40">
        <f t="shared" ref="G101:J101" si="41">G98/($E22+$E24)</f>
        <v>1.5378176377118649</v>
      </c>
      <c r="H101" s="40">
        <f t="shared" si="41"/>
        <v>1.8528292380826277</v>
      </c>
      <c r="I101" s="40">
        <f t="shared" si="41"/>
        <v>2.177350168025689</v>
      </c>
      <c r="J101" s="40">
        <f t="shared" si="41"/>
        <v>2.7864475111989617</v>
      </c>
    </row>
    <row r="102" spans="2:10" x14ac:dyDescent="0.3">
      <c r="B102" s="2" t="s">
        <v>75</v>
      </c>
      <c r="E102" s="21"/>
      <c r="F102" s="34">
        <f>F101^(1/F$91) - 1</f>
        <v>0.23676906779660989</v>
      </c>
      <c r="G102" s="34">
        <f t="shared" ref="G102:J102" si="42">G101^(1/G$91) - 1</f>
        <v>0.24008775403673144</v>
      </c>
      <c r="H102" s="34">
        <f t="shared" si="42"/>
        <v>0.22822650484917273</v>
      </c>
      <c r="I102" s="34">
        <f t="shared" si="42"/>
        <v>0.21473646806057012</v>
      </c>
      <c r="J102" s="34">
        <f t="shared" si="42"/>
        <v>0.2274679841724907</v>
      </c>
    </row>
    <row r="103" spans="2:10" x14ac:dyDescent="0.3">
      <c r="E103" s="21"/>
    </row>
    <row r="104" spans="2:10" x14ac:dyDescent="0.3">
      <c r="B104" s="23" t="s">
        <v>76</v>
      </c>
      <c r="C104" s="7"/>
      <c r="D104" s="7"/>
      <c r="E104" s="24"/>
      <c r="F104" s="7"/>
      <c r="G104" s="7"/>
      <c r="H104" s="7"/>
      <c r="I104" s="7"/>
      <c r="J104" s="7"/>
    </row>
    <row r="105" spans="2:10" x14ac:dyDescent="0.3">
      <c r="B105" s="1" t="s">
        <v>77</v>
      </c>
      <c r="E105" s="35">
        <f>E22</f>
        <v>27</v>
      </c>
    </row>
    <row r="106" spans="2:10" x14ac:dyDescent="0.3">
      <c r="B106" s="1" t="s">
        <v>78</v>
      </c>
      <c r="E106" s="21"/>
      <c r="F106" s="36" cm="1">
        <f t="array" ref="F106">_xlfn.IFS(AND(F101&gt;2, F101&lt;2.5), 0.15*F98, F101&gt;2.5, 0.25*F98, F101&lt;2, 0)</f>
        <v>0</v>
      </c>
      <c r="G106" s="36" cm="1">
        <f t="array" ref="G106">_xlfn.IFS(AND(G101&gt;2, G101&lt;2.5), 0.15*G98, G101&gt;2.5, 0.25*G98, G101&lt;2, 0)</f>
        <v>0</v>
      </c>
      <c r="H106" s="36" cm="1">
        <f t="array" ref="H106">_xlfn.IFS(AND(H101&gt;2, H101&lt;2.5), 0.15*H98, H101&gt;2.5, 0.25*H98, H101&lt;2, 0)</f>
        <v>0</v>
      </c>
      <c r="I106" s="36" cm="1">
        <f t="array" ref="I106">_xlfn.IFS(AND(I101&gt;2, I101&lt;2.5), 0.15*I98, I101&gt;2.5, 0.25*I98, I101&lt;2, 0)</f>
        <v>77.078195948109382</v>
      </c>
      <c r="J106" s="36" cm="1">
        <f t="array" ref="J106">_xlfn.IFS(AND(J101&gt;2, J101&lt;2.5), 0.15*J98, J101&gt;2.5, 0.25*J98, J101&lt;2, 0)</f>
        <v>164.40040316073873</v>
      </c>
    </row>
    <row r="107" spans="2:10" x14ac:dyDescent="0.3">
      <c r="B107" s="7" t="s">
        <v>79</v>
      </c>
      <c r="C107" s="7"/>
      <c r="D107" s="7"/>
      <c r="E107" s="24"/>
      <c r="F107" s="37">
        <f>0.1*F98</f>
        <v>29.187749999999994</v>
      </c>
      <c r="G107" s="37">
        <f t="shared" ref="G107:J107" si="43">0.1*G98</f>
        <v>36.292496250000013</v>
      </c>
      <c r="H107" s="37">
        <f t="shared" si="43"/>
        <v>43.726770018750017</v>
      </c>
      <c r="I107" s="37">
        <f t="shared" si="43"/>
        <v>51.385463965406259</v>
      </c>
      <c r="J107" s="37">
        <f t="shared" si="43"/>
        <v>65.76016126429549</v>
      </c>
    </row>
    <row r="108" spans="2:10" x14ac:dyDescent="0.3">
      <c r="B108" s="2" t="s">
        <v>80</v>
      </c>
      <c r="E108" s="38">
        <f>-E105+E106+E107</f>
        <v>-27</v>
      </c>
      <c r="F108" s="39">
        <f t="shared" ref="F108:J108" si="44">-F105+F106+F107</f>
        <v>29.187749999999994</v>
      </c>
      <c r="G108" s="39">
        <f t="shared" si="44"/>
        <v>36.292496250000013</v>
      </c>
      <c r="H108" s="39">
        <f t="shared" si="44"/>
        <v>43.726770018750017</v>
      </c>
      <c r="I108" s="39">
        <f t="shared" si="44"/>
        <v>128.46365991351564</v>
      </c>
      <c r="J108" s="39">
        <f t="shared" si="44"/>
        <v>230.16056442503424</v>
      </c>
    </row>
    <row r="109" spans="2:10" x14ac:dyDescent="0.3">
      <c r="E109" s="21"/>
    </row>
    <row r="110" spans="2:10" x14ac:dyDescent="0.3">
      <c r="B110" s="2" t="s">
        <v>74</v>
      </c>
      <c r="E110" s="21"/>
      <c r="F110" s="40">
        <f>F108/$E105</f>
        <v>1.0810277777777775</v>
      </c>
      <c r="G110" s="40">
        <f t="shared" ref="G110:J110" si="45">G108/$E105</f>
        <v>1.3441665277777783</v>
      </c>
      <c r="H110" s="40">
        <f t="shared" si="45"/>
        <v>1.6195100006944452</v>
      </c>
      <c r="I110" s="40">
        <f t="shared" si="45"/>
        <v>4.7579133301302088</v>
      </c>
      <c r="J110" s="40">
        <f t="shared" si="45"/>
        <v>8.5244653490753421</v>
      </c>
    </row>
    <row r="111" spans="2:10" x14ac:dyDescent="0.3">
      <c r="B111" s="2" t="s">
        <v>75</v>
      </c>
      <c r="E111" s="21"/>
      <c r="F111" s="34">
        <f>F110^(1/F$91) - 1</f>
        <v>8.1027777777777477E-2</v>
      </c>
      <c r="G111" s="34">
        <f t="shared" ref="G111" si="46">G110^(1/G$91) - 1</f>
        <v>0.15938195939810029</v>
      </c>
      <c r="H111" s="34">
        <f t="shared" ref="H111" si="47">H110^(1/H$91) - 1</f>
        <v>0.17434186791455897</v>
      </c>
      <c r="I111" s="34">
        <f t="shared" ref="I111" si="48">I110^(1/I$91) - 1</f>
        <v>0.476910342141035</v>
      </c>
      <c r="J111" s="34">
        <f t="shared" ref="J111" si="49">J110^(1/J$91) - 1</f>
        <v>0.53508854146283191</v>
      </c>
    </row>
    <row r="112" spans="2:10" x14ac:dyDescent="0.3">
      <c r="E112" s="21"/>
    </row>
    <row r="113" spans="2:10" x14ac:dyDescent="0.3">
      <c r="B113" s="23" t="s">
        <v>81</v>
      </c>
      <c r="C113" s="7"/>
      <c r="D113" s="7"/>
      <c r="E113" s="24"/>
      <c r="F113" s="7"/>
      <c r="G113" s="7"/>
      <c r="H113" s="7"/>
      <c r="I113" s="7"/>
      <c r="J113" s="7"/>
    </row>
    <row r="114" spans="2:10" x14ac:dyDescent="0.3">
      <c r="B114" s="1" t="s">
        <v>77</v>
      </c>
      <c r="E114" s="35">
        <f>E24</f>
        <v>209</v>
      </c>
    </row>
    <row r="115" spans="2:10" x14ac:dyDescent="0.3">
      <c r="B115" s="1" t="s">
        <v>82</v>
      </c>
      <c r="E115" s="21"/>
      <c r="F115" s="36">
        <f>F106</f>
        <v>0</v>
      </c>
      <c r="G115" s="36">
        <f t="shared" ref="G115:J115" si="50">G106</f>
        <v>0</v>
      </c>
      <c r="H115" s="36">
        <f t="shared" si="50"/>
        <v>0</v>
      </c>
      <c r="I115" s="36">
        <f t="shared" si="50"/>
        <v>77.078195948109382</v>
      </c>
      <c r="J115" s="36">
        <f t="shared" si="50"/>
        <v>164.40040316073873</v>
      </c>
    </row>
    <row r="116" spans="2:10" x14ac:dyDescent="0.3">
      <c r="B116" s="1" t="s">
        <v>7</v>
      </c>
      <c r="E116" s="21"/>
      <c r="F116" s="16">
        <f>F89</f>
        <v>50.4</v>
      </c>
      <c r="G116" s="16">
        <f t="shared" ref="G116:J116" si="51">G89</f>
        <v>56.448</v>
      </c>
      <c r="H116" s="16">
        <f t="shared" si="51"/>
        <v>63.221760000000003</v>
      </c>
      <c r="I116" s="16">
        <f t="shared" si="51"/>
        <v>70.808371200000011</v>
      </c>
      <c r="J116" s="16">
        <f t="shared" si="51"/>
        <v>79.305375744000017</v>
      </c>
    </row>
    <row r="117" spans="2:10" x14ac:dyDescent="0.3">
      <c r="B117" s="7" t="s">
        <v>79</v>
      </c>
      <c r="C117" s="7"/>
      <c r="D117" s="7"/>
      <c r="E117" s="24"/>
      <c r="F117" s="37">
        <f>F98-F107</f>
        <v>262.68974999999995</v>
      </c>
      <c r="G117" s="37">
        <f t="shared" ref="G117:J117" si="52">G98-G107</f>
        <v>326.63246625000011</v>
      </c>
      <c r="H117" s="37">
        <f t="shared" si="52"/>
        <v>393.54093016875009</v>
      </c>
      <c r="I117" s="37">
        <f t="shared" si="52"/>
        <v>462.46917568865632</v>
      </c>
      <c r="J117" s="37">
        <f t="shared" si="52"/>
        <v>591.84145137865949</v>
      </c>
    </row>
    <row r="118" spans="2:10" x14ac:dyDescent="0.3">
      <c r="B118" s="2" t="s">
        <v>80</v>
      </c>
      <c r="E118" s="38">
        <f>-E114-E115+E116+E117</f>
        <v>-209</v>
      </c>
      <c r="F118" s="26">
        <f t="shared" ref="F118:J118" si="53">-F114-F115+F116+F117</f>
        <v>313.08974999999992</v>
      </c>
      <c r="G118" s="26">
        <f t="shared" si="53"/>
        <v>383.08046625000009</v>
      </c>
      <c r="H118" s="26">
        <f t="shared" si="53"/>
        <v>456.76269016875011</v>
      </c>
      <c r="I118" s="26">
        <f t="shared" si="53"/>
        <v>456.19935094054694</v>
      </c>
      <c r="J118" s="26">
        <f t="shared" si="53"/>
        <v>506.74642396192075</v>
      </c>
    </row>
    <row r="119" spans="2:10" x14ac:dyDescent="0.3">
      <c r="E119" s="21"/>
    </row>
    <row r="120" spans="2:10" x14ac:dyDescent="0.3">
      <c r="B120" s="2" t="s">
        <v>74</v>
      </c>
      <c r="E120" s="21"/>
      <c r="F120" s="40">
        <f>F118/$E114</f>
        <v>1.4980370813397126</v>
      </c>
      <c r="G120" s="40">
        <f t="shared" ref="G120:J120" si="54">G118/$E114</f>
        <v>1.8329208911483257</v>
      </c>
      <c r="H120" s="40">
        <f t="shared" si="54"/>
        <v>2.1854674170753592</v>
      </c>
      <c r="I120" s="40">
        <f t="shared" si="54"/>
        <v>2.1827720140696028</v>
      </c>
      <c r="J120" s="40">
        <f t="shared" si="54"/>
        <v>2.4246240380953146</v>
      </c>
    </row>
    <row r="121" spans="2:10" x14ac:dyDescent="0.3">
      <c r="B121" s="2" t="s">
        <v>75</v>
      </c>
      <c r="E121" s="21"/>
      <c r="F121" s="34">
        <f>F120^(1/F$91) - 1</f>
        <v>0.49803708133971258</v>
      </c>
      <c r="G121" s="34">
        <f t="shared" ref="G121" si="55">G120^(1/G$91) - 1</f>
        <v>0.35385408783529027</v>
      </c>
      <c r="H121" s="34">
        <f t="shared" ref="H121" si="56">H120^(1/H$91) - 1</f>
        <v>0.29772133706474535</v>
      </c>
      <c r="I121" s="34">
        <f t="shared" ref="I121" si="57">I120^(1/I$91) - 1</f>
        <v>0.21549197044455859</v>
      </c>
      <c r="J121" s="34">
        <f>J120^(1/J$91) - 1</f>
        <v>0.19379259673698401</v>
      </c>
    </row>
    <row r="122" spans="2:10" x14ac:dyDescent="0.3">
      <c r="F122" s="34"/>
      <c r="G122" s="34"/>
      <c r="H122" s="34"/>
      <c r="I122" s="34"/>
      <c r="J122" s="34"/>
    </row>
    <row r="123" spans="2:10" x14ac:dyDescent="0.3">
      <c r="B123" s="62" t="s">
        <v>74</v>
      </c>
      <c r="C123" s="60"/>
      <c r="D123" s="60"/>
      <c r="E123" s="60"/>
      <c r="F123" s="61"/>
      <c r="G123" s="61"/>
      <c r="H123" s="61"/>
      <c r="I123" s="61"/>
      <c r="J123" s="63" cm="1">
        <f t="array" ref="J123">INDEX(F120:J120, H$15)</f>
        <v>2.4246240380953146</v>
      </c>
    </row>
    <row r="124" spans="2:10" x14ac:dyDescent="0.3">
      <c r="B124" s="62" t="s">
        <v>75</v>
      </c>
      <c r="C124" s="60"/>
      <c r="D124" s="60"/>
      <c r="E124" s="60"/>
      <c r="F124" s="61"/>
      <c r="G124" s="61"/>
      <c r="H124" s="61"/>
      <c r="I124" s="61"/>
      <c r="J124" s="61" cm="1">
        <f t="array" ref="J124">INDEX(F121:J121, H$15)</f>
        <v>0.19379259673698401</v>
      </c>
    </row>
    <row r="126" spans="2:10" x14ac:dyDescent="0.3">
      <c r="B126" s="43" t="s">
        <v>100</v>
      </c>
      <c r="C126" s="43"/>
      <c r="D126" s="43"/>
      <c r="E126" s="43"/>
      <c r="F126" s="43"/>
      <c r="G126" s="43"/>
      <c r="H126" s="43"/>
      <c r="I126" s="43"/>
      <c r="J126" s="43"/>
    </row>
    <row r="127" spans="2:10" ht="14.4" customHeight="1" x14ac:dyDescent="0.3">
      <c r="C127" s="79" t="s">
        <v>68</v>
      </c>
      <c r="D127" s="79"/>
      <c r="E127" s="79"/>
      <c r="F127" s="79"/>
      <c r="G127" s="79"/>
      <c r="H127" s="79"/>
    </row>
    <row r="128" spans="2:10" x14ac:dyDescent="0.3">
      <c r="B128" s="82" t="s">
        <v>94</v>
      </c>
      <c r="C128" s="73">
        <f>J124</f>
        <v>0.19379259673698401</v>
      </c>
      <c r="D128" s="76">
        <v>8</v>
      </c>
      <c r="E128" s="76">
        <v>9</v>
      </c>
      <c r="F128" s="76">
        <v>10</v>
      </c>
      <c r="G128" s="76">
        <v>11</v>
      </c>
      <c r="H128" s="77">
        <v>12</v>
      </c>
    </row>
    <row r="129" spans="2:10" x14ac:dyDescent="0.3">
      <c r="B129" s="82"/>
      <c r="C129" s="74">
        <v>3</v>
      </c>
      <c r="D129" s="64">
        <f t="dataTable" ref="D129:H131" dt2D="1" dtr="1" r1="H13" r2="H15"/>
        <v>0.18369509187370148</v>
      </c>
      <c r="E129" s="65">
        <v>0.24332257329869988</v>
      </c>
      <c r="F129" s="65">
        <v>0.29772133706474535</v>
      </c>
      <c r="G129" s="65">
        <v>0.27878836629930648</v>
      </c>
      <c r="H129" s="66">
        <v>0.32206241395572421</v>
      </c>
    </row>
    <row r="130" spans="2:10" x14ac:dyDescent="0.3">
      <c r="B130" s="82"/>
      <c r="C130" s="74">
        <v>4</v>
      </c>
      <c r="D130" s="67">
        <v>0.22371127868380891</v>
      </c>
      <c r="E130" s="68">
        <v>0.21284303803945614</v>
      </c>
      <c r="F130" s="68">
        <v>0.24498583975577515</v>
      </c>
      <c r="G130" s="68">
        <v>0.23603933077455408</v>
      </c>
      <c r="H130" s="69">
        <v>0.26255655407421208</v>
      </c>
    </row>
    <row r="131" spans="2:10" x14ac:dyDescent="0.3">
      <c r="B131" s="82"/>
      <c r="C131" s="75">
        <v>5</v>
      </c>
      <c r="D131" s="70">
        <v>0.17349571819233689</v>
      </c>
      <c r="E131" s="71">
        <v>0.19942185856581274</v>
      </c>
      <c r="F131" s="71">
        <v>0.19379259673698401</v>
      </c>
      <c r="G131" s="71">
        <v>0.2149562728923029</v>
      </c>
      <c r="H131" s="72">
        <v>0.23474046431099671</v>
      </c>
    </row>
    <row r="133" spans="2:10" x14ac:dyDescent="0.3">
      <c r="B133" s="2" t="s">
        <v>83</v>
      </c>
    </row>
    <row r="134" spans="2:10" x14ac:dyDescent="0.3">
      <c r="B134" s="2"/>
    </row>
    <row r="135" spans="2:10" x14ac:dyDescent="0.3">
      <c r="B135" s="80" t="s">
        <v>84</v>
      </c>
      <c r="C135" s="81"/>
      <c r="D135" s="81"/>
      <c r="E135" s="81"/>
      <c r="F135" s="81"/>
      <c r="G135" s="81"/>
      <c r="H135" s="81"/>
      <c r="I135" s="81"/>
      <c r="J135" s="81"/>
    </row>
    <row r="136" spans="2:10" x14ac:dyDescent="0.3">
      <c r="B136" s="13"/>
      <c r="C136" s="6" t="s">
        <v>85</v>
      </c>
      <c r="D136" s="6" t="s">
        <v>86</v>
      </c>
      <c r="E136" s="6" t="s">
        <v>87</v>
      </c>
      <c r="F136" s="13"/>
    </row>
    <row r="137" spans="2:10" x14ac:dyDescent="0.3">
      <c r="B137" s="6" t="s">
        <v>30</v>
      </c>
      <c r="C137" s="42">
        <v>2.2400000000000002</v>
      </c>
      <c r="D137" s="42">
        <v>2.4</v>
      </c>
      <c r="E137" s="42">
        <v>2.54</v>
      </c>
      <c r="F137" s="6" t="s">
        <v>74</v>
      </c>
    </row>
    <row r="138" spans="2:10" x14ac:dyDescent="0.3">
      <c r="B138" s="13"/>
      <c r="C138" s="41">
        <v>0.22</v>
      </c>
      <c r="D138" s="41">
        <v>0.24</v>
      </c>
      <c r="E138" s="41">
        <v>0.26</v>
      </c>
      <c r="F138" s="6" t="s">
        <v>75</v>
      </c>
    </row>
    <row r="139" spans="2:10" x14ac:dyDescent="0.3">
      <c r="B139" s="6" t="s">
        <v>29</v>
      </c>
      <c r="C139" s="42">
        <v>2.23</v>
      </c>
      <c r="D139" s="42">
        <v>2.42</v>
      </c>
      <c r="E139" s="42">
        <v>2.87</v>
      </c>
      <c r="F139" s="6" t="s">
        <v>74</v>
      </c>
    </row>
    <row r="140" spans="2:10" x14ac:dyDescent="0.3">
      <c r="B140" s="13"/>
      <c r="C140" s="41">
        <v>0.17</v>
      </c>
      <c r="D140" s="41">
        <v>0.19</v>
      </c>
      <c r="E140" s="41">
        <v>0.23</v>
      </c>
      <c r="F140" s="6" t="s">
        <v>75</v>
      </c>
    </row>
    <row r="141" spans="2:10" x14ac:dyDescent="0.3">
      <c r="B141" s="1" t="s">
        <v>88</v>
      </c>
    </row>
    <row r="142" spans="2:10" x14ac:dyDescent="0.3">
      <c r="B142" s="1" t="s">
        <v>89</v>
      </c>
    </row>
    <row r="144" spans="2:10" x14ac:dyDescent="0.3">
      <c r="B144" s="78" t="s">
        <v>90</v>
      </c>
      <c r="C144" s="78"/>
      <c r="D144" s="78"/>
      <c r="E144" s="78"/>
      <c r="F144" s="78"/>
      <c r="G144" s="78"/>
      <c r="H144" s="78"/>
      <c r="I144" s="78"/>
      <c r="J144" s="78"/>
    </row>
    <row r="145" spans="2:10" x14ac:dyDescent="0.3">
      <c r="B145" s="1" t="s">
        <v>91</v>
      </c>
    </row>
    <row r="146" spans="2:10" x14ac:dyDescent="0.3">
      <c r="B146" s="1" t="s">
        <v>92</v>
      </c>
    </row>
    <row r="148" spans="2:10" x14ac:dyDescent="0.3">
      <c r="B148" s="78" t="s">
        <v>93</v>
      </c>
      <c r="C148" s="78"/>
      <c r="D148" s="78"/>
      <c r="E148" s="78"/>
      <c r="F148" s="78"/>
      <c r="G148" s="78"/>
      <c r="H148" s="78"/>
      <c r="I148" s="78"/>
      <c r="J148" s="78"/>
    </row>
    <row r="149" spans="2:10" x14ac:dyDescent="0.3">
      <c r="B149" s="1" t="s">
        <v>95</v>
      </c>
    </row>
    <row r="151" spans="2:10" x14ac:dyDescent="0.3">
      <c r="B151" s="78" t="s">
        <v>96</v>
      </c>
      <c r="C151" s="78"/>
      <c r="D151" s="78"/>
      <c r="E151" s="78"/>
      <c r="F151" s="78"/>
      <c r="G151" s="78"/>
      <c r="H151" s="78"/>
      <c r="I151" s="78"/>
      <c r="J151" s="78"/>
    </row>
    <row r="152" spans="2:10" x14ac:dyDescent="0.3">
      <c r="B152" s="1" t="s">
        <v>97</v>
      </c>
    </row>
    <row r="154" spans="2:10" x14ac:dyDescent="0.3">
      <c r="B154" s="78" t="s">
        <v>98</v>
      </c>
      <c r="C154" s="78"/>
      <c r="D154" s="78"/>
      <c r="E154" s="78"/>
      <c r="F154" s="78"/>
      <c r="G154" s="78"/>
      <c r="H154" s="78"/>
      <c r="I154" s="78"/>
      <c r="J154" s="78"/>
    </row>
    <row r="155" spans="2:10" x14ac:dyDescent="0.3">
      <c r="B155" s="1" t="s">
        <v>99</v>
      </c>
    </row>
  </sheetData>
  <mergeCells count="9">
    <mergeCell ref="B144:J144"/>
    <mergeCell ref="B148:J148"/>
    <mergeCell ref="B151:J151"/>
    <mergeCell ref="B154:J154"/>
    <mergeCell ref="G19:J19"/>
    <mergeCell ref="B19:E19"/>
    <mergeCell ref="B135:J135"/>
    <mergeCell ref="B128:B131"/>
    <mergeCell ref="C127:H1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E76CF112A8F744ACC9B06CBF4A64EC" ma:contentTypeVersion="5" ma:contentTypeDescription="Create a new document." ma:contentTypeScope="" ma:versionID="4a7a75bed4cfa692011102751b165759">
  <xsd:schema xmlns:xsd="http://www.w3.org/2001/XMLSchema" xmlns:xs="http://www.w3.org/2001/XMLSchema" xmlns:p="http://schemas.microsoft.com/office/2006/metadata/properties" xmlns:ns3="f5076b1b-c2d4-415e-aabe-8e0221743377" targetNamespace="http://schemas.microsoft.com/office/2006/metadata/properties" ma:root="true" ma:fieldsID="1a6bab422dabb791f237271125060706" ns3:_="">
    <xsd:import namespace="f5076b1b-c2d4-415e-aabe-8e022174337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076b1b-c2d4-415e-aabe-8e022174337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079BCB-564E-40BD-8176-5BC73A4070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076b1b-c2d4-415e-aabe-8e02217433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1768A8-0287-4A7A-8212-5D22F8E8BD08}">
  <ds:schemaRefs>
    <ds:schemaRef ds:uri="http://schemas.microsoft.com/office/2006/documentManagement/types"/>
    <ds:schemaRef ds:uri="http://www.w3.org/XML/1998/namespace"/>
    <ds:schemaRef ds:uri="http://purl.org/dc/terms/"/>
    <ds:schemaRef ds:uri="http://purl.org/dc/dcmitype/"/>
    <ds:schemaRef ds:uri="http://schemas.microsoft.com/office/infopath/2007/PartnerControls"/>
    <ds:schemaRef ds:uri="f5076b1b-c2d4-415e-aabe-8e0221743377"/>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F95B3665-EE2B-4E9E-AB0B-4FD33AED31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Tanishk Khetan</dc:creator>
  <cp:lastModifiedBy>Tanishk Khetan</cp:lastModifiedBy>
  <dcterms:created xsi:type="dcterms:W3CDTF">2025-07-24T16:40:26Z</dcterms:created>
  <dcterms:modified xsi:type="dcterms:W3CDTF">2025-07-27T18:48:07Z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0x01010082E76CF112A8F744ACC9B06CBF4A64EC</vt:lpwstr>
  </property>
</Properties>
</file>