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viveknagireddi/Downloads/"/>
    </mc:Choice>
  </mc:AlternateContent>
  <xr:revisionPtr revIDLastSave="0" documentId="8_{0AFBCF7C-203D-7F43-A02A-E4E2E2C8D6D6}" xr6:coauthVersionLast="47" xr6:coauthVersionMax="47" xr10:uidLastSave="{00000000-0000-0000-0000-000000000000}"/>
  <bookViews>
    <workbookView xWindow="0" yWindow="580" windowWidth="23260" windowHeight="12460" xr2:uid="{FA1476E4-6015-4584-836E-D2C689D858EF}"/>
  </bookViews>
  <sheets>
    <sheet name="Cover" sheetId="1" r:id="rId1"/>
    <sheet name="Balance Sheet HISTORICAL" sheetId="2" state="hidden" r:id="rId2"/>
    <sheet name="Assumptions" sheetId="4" r:id="rId3"/>
    <sheet name="Debt" sheetId="7" r:id="rId4"/>
    <sheet name="Calcs" sheetId="5" r:id="rId5"/>
    <sheet name="Income Statement" sheetId="3" r:id="rId6"/>
    <sheet name="Balance Sheet PROJECTED" sheetId="6" r:id="rId7"/>
    <sheet name="WACC" sheetId="9" r:id="rId8"/>
    <sheet name="Start here Ratings sheet" sheetId="10" state="hidden" r:id="rId9"/>
    <sheet name="Cash Flow Statement" sheetId="8" r:id="rId10"/>
    <sheet name="Operating Leases" sheetId="11" state="hidden" r:id="rId11"/>
    <sheet name="Trading Comps" sheetId="12" r:id="rId12"/>
    <sheet name="Transaction Comps" sheetId="13" r:id="rId13"/>
    <sheet name="AVP" sheetId="14" r:id="rId14"/>
    <sheet name="Summary" sheetId="15" r:id="rId15"/>
  </sheets>
  <definedNames>
    <definedName name="__FDS_HYPERLINK_TOGGLE_STATE__" hidden="1">"ON"</definedName>
    <definedName name="_AMO_UniqueIdentifier" hidden="1">"'2720638d-ac9a-46cd-bd84-1eedcce947d0'"</definedName>
    <definedName name="a" localSheetId="7">WACC!a</definedName>
    <definedName name="a">[0]!a</definedName>
    <definedName name="AboutCompGraph" localSheetId="7">WACC!AboutCompGraph</definedName>
    <definedName name="AboutCompGraph">[0]!AboutCompGraph</definedName>
    <definedName name="acq_pv">#REF!</definedName>
    <definedName name="Acq15Day">#REF!</definedName>
    <definedName name="Acq30Day">#REF!</definedName>
    <definedName name="Acq60Day">#REF!</definedName>
    <definedName name="Acq90Day">#REF!</definedName>
    <definedName name="AcqDate">#REF!</definedName>
    <definedName name="AcqPrice">#REF!</definedName>
    <definedName name="AcqQ">#REF!</definedName>
    <definedName name="AcqResearch">#REF!</definedName>
    <definedName name="AcqYest">#REF!</definedName>
    <definedName name="Annotate_Area">#REF!</definedName>
    <definedName name="AnnotateClearSet">#REF!</definedName>
    <definedName name="AnnotateNoteClear">#REF!</definedName>
    <definedName name="AnnotateNoteReturn">#REF!</definedName>
    <definedName name="AnnotateNoteSet">#REF!</definedName>
    <definedName name="AnnotateStart">#REF!</definedName>
    <definedName name="avgBlock">#REF!</definedName>
    <definedName name="AvgPrice">#REF!</definedName>
    <definedName name="AxesFormat" localSheetId="7">WACC!AxesFormat</definedName>
    <definedName name="AxesFormat">[0]!AxesFormat</definedName>
    <definedName name="BackFromCompanySelector" localSheetId="7">WACC!BackFromCompanySelector</definedName>
    <definedName name="BackFromCompanySelector">[0]!BackFromCompanySelector</definedName>
    <definedName name="BackFromItemSelect" localSheetId="7">WACC!BackFromItemSelect</definedName>
    <definedName name="BackFromItemSelect">[0]!BackFromItemSelect</definedName>
    <definedName name="BalanceSheet">#REF!</definedName>
    <definedName name="bDown" localSheetId="7">WACC!bDown</definedName>
    <definedName name="bDown">[0]!bDown</definedName>
    <definedName name="BeginDate" localSheetId="7">#REF!</definedName>
    <definedName name="BeginDate">#REF!</definedName>
    <definedName name="BeginDateSet">#REF!</definedName>
    <definedName name="BeginReturn">#REF!</definedName>
    <definedName name="BlackWhiteNote">#REF!</definedName>
    <definedName name="BlackWhiteSet">#REF!</definedName>
    <definedName name="bLeft" localSheetId="7">WACC!bLeft</definedName>
    <definedName name="bLeft">[0]!bLeft</definedName>
    <definedName name="bRight" localSheetId="7">WACC!bRight</definedName>
    <definedName name="bRight">[0]!bRight</definedName>
    <definedName name="bUp" localSheetId="7">WACC!bUp</definedName>
    <definedName name="bUp">[0]!bUp</definedName>
    <definedName name="Cellsdown" localSheetId="7">#REF!</definedName>
    <definedName name="Cellsdown">#REF!</definedName>
    <definedName name="ChangeSize" localSheetId="7">WACC!ChangeSize</definedName>
    <definedName name="ChangeSize">[0]!ChangeSize</definedName>
    <definedName name="ChartOptions" localSheetId="7">WACC!ChartOptions</definedName>
    <definedName name="ChartOptions">[0]!ChartOptions</definedName>
    <definedName name="ChartType" localSheetId="7">#REF!</definedName>
    <definedName name="ChartType">#REF!</definedName>
    <definedName name="ChartTypeChange" localSheetId="7">WACC!ChartTypeChange</definedName>
    <definedName name="ChartTypeChange">[0]!ChartTypeChange</definedName>
    <definedName name="CIQWBGuid" hidden="1">"c5b29fff-7884-43ef-b063-a9aa449dd386"</definedName>
    <definedName name="CIQWBInfo" hidden="1">"{ ""CIQVersion"":""9.45.614.5792"" }"</definedName>
    <definedName name="cleanup" localSheetId="7">#REF!</definedName>
    <definedName name="cleanup">#REF!</definedName>
    <definedName name="ClearCompList" localSheetId="7">WACC!ClearCompList</definedName>
    <definedName name="ClearCompList">[0]!ClearCompList</definedName>
    <definedName name="ClipBoardRange" localSheetId="7">#REF!</definedName>
    <definedName name="ClipBoardRange">#REF!</definedName>
    <definedName name="ColorNoteReturn" localSheetId="7">#REF!</definedName>
    <definedName name="ColorNoteReturn">#REF!</definedName>
    <definedName name="ColorNoteSet">#REF!</definedName>
    <definedName name="Company1">#REF!</definedName>
    <definedName name="Company2">#REF!</definedName>
    <definedName name="CompanyChangeSize" localSheetId="7">WACC!CompanyChangeSize</definedName>
    <definedName name="CompanyChangeSize">[0]!CompanyChangeSize</definedName>
    <definedName name="CompanyLookup" localSheetId="7">WACC!CompanyLookup</definedName>
    <definedName name="CompanyLookup">[0]!CompanyLookup</definedName>
    <definedName name="CompanyName1" localSheetId="7">#REF!</definedName>
    <definedName name="CompanyName1">#REF!</definedName>
    <definedName name="CompgraphHelp" localSheetId="7">WACC!CompgraphHelp</definedName>
    <definedName name="CompgraphHelp">[0]!CompgraphHelp</definedName>
    <definedName name="complookup" localSheetId="7">WACC!complookup</definedName>
    <definedName name="complookup">[0]!complookup</definedName>
    <definedName name="CompositeBuilder" localSheetId="7">WACC!CompositeBuilder</definedName>
    <definedName name="CompositeBuilder">[0]!CompositeBuilder</definedName>
    <definedName name="consideration">#REF!</definedName>
    <definedName name="contrib_graph">#REF!</definedName>
    <definedName name="ContribIS">#REF!</definedName>
    <definedName name="CoSelectorOutputs" localSheetId="7">WACC!CoSelectorOutputs</definedName>
    <definedName name="CoSelectorOutputs">[0]!CoSelectorOutputs</definedName>
    <definedName name="CurrencyCell" localSheetId="7">#REF!</definedName>
    <definedName name="CurrencyCell">#REF!</definedName>
    <definedName name="CurrencySymbol" localSheetId="7">#REF!</definedName>
    <definedName name="CurrencySymbol">#REF!</definedName>
    <definedName name="CurrentStub">#REF!</definedName>
    <definedName name="curRev_Range">#REF!</definedName>
    <definedName name="CursorSet">#REF!</definedName>
    <definedName name="CustomChart" localSheetId="7">WACC!CustomChart</definedName>
    <definedName name="CustomChart">[0]!CustomChart</definedName>
    <definedName name="Data">#REF!</definedName>
    <definedName name="DataAdjust">#REF!</definedName>
    <definedName name="DataOptions">#REF!</definedName>
    <definedName name="DataRange">#REF!</definedName>
    <definedName name="date">#REF!</definedName>
    <definedName name="DateChange">#REF!</definedName>
    <definedName name="DateColumn">#REF!</definedName>
    <definedName name="DateReturn">#REF!</definedName>
    <definedName name="DateSet">#REF!</definedName>
    <definedName name="dDownEnd">#REF!</definedName>
    <definedName name="ddownNames">#REF!</definedName>
    <definedName name="DDownStart">#REF!</definedName>
    <definedName name="dfsalk" localSheetId="7">WACC!dfsalk</definedName>
    <definedName name="dfsalk">[0]!dfsalk</definedName>
    <definedName name="DismissItemDlog" localSheetId="7">WACC!DismissItemDlog</definedName>
    <definedName name="DismissItemDlog">[0]!DismissItemDlog</definedName>
    <definedName name="editgraph" localSheetId="7">WACC!editgraph</definedName>
    <definedName name="editgraph">[0]!editgraph</definedName>
    <definedName name="EditReturn" localSheetId="7">#REF!</definedName>
    <definedName name="EditReturn">#REF!</definedName>
    <definedName name="enable" localSheetId="7">WACC!enable</definedName>
    <definedName name="enable">[0]!enable</definedName>
    <definedName name="endcell" localSheetId="7">#REF!</definedName>
    <definedName name="endcell">#REF!</definedName>
    <definedName name="EndDate" localSheetId="7">#REF!</definedName>
    <definedName name="EndDate">#REF!</definedName>
    <definedName name="EndDateCell">#REF!</definedName>
    <definedName name="EndDateSet">#REF!</definedName>
    <definedName name="EndReturn">#REF!</definedName>
    <definedName name="EntPur_Range">#REF!</definedName>
    <definedName name="EqPur_Range">#REF!</definedName>
    <definedName name="Exch15Day">#REF!</definedName>
    <definedName name="Exch30Day">#REF!</definedName>
    <definedName name="Exch60Day">#REF!</definedName>
    <definedName name="Exch90Day">#REF!</definedName>
    <definedName name="Exchange">#REF!</definedName>
    <definedName name="ExchYest">#REF!</definedName>
    <definedName name="ExitCompanySelector" localSheetId="7">WACC!ExitCompanySelector</definedName>
    <definedName name="ExitCompanySelector">[0]!ExitCompanySelector</definedName>
    <definedName name="ExitFormat" localSheetId="7">WACC!ExitFormat</definedName>
    <definedName name="ExitFormat">[0]!ExitFormat</definedName>
    <definedName name="ExitItemBuilder" localSheetId="7">WACC!ExitItemBuilder</definedName>
    <definedName name="ExitItemBuilder">[0]!ExitItemBuilder</definedName>
    <definedName name="exitMainMenu" localSheetId="7">WACC!exitMainMenu</definedName>
    <definedName name="exitMainMenu">[0]!exitMainMenu</definedName>
    <definedName name="exitmsg" localSheetId="7">WACC!exitmsg</definedName>
    <definedName name="exitmsg">[0]!exitmsg</definedName>
    <definedName name="ExitReturn" localSheetId="7">#REF!</definedName>
    <definedName name="ExitReturn">#REF!</definedName>
    <definedName name="ExportSpot" localSheetId="7">#REF!</definedName>
    <definedName name="ExportSpot">#REF!</definedName>
    <definedName name="fadskj" localSheetId="7">WACC!fadskj</definedName>
    <definedName name="fadskj">[0]!fadskj</definedName>
    <definedName name="FirstDate" localSheetId="7">#REF!</definedName>
    <definedName name="FirstDate">#REF!</definedName>
    <definedName name="firstFoot" localSheetId="7">#REF!</definedName>
    <definedName name="firstFoot">#REF!</definedName>
    <definedName name="foot1">#REF!</definedName>
    <definedName name="Footnote1">#REF!</definedName>
    <definedName name="Footnote2">#REF!</definedName>
    <definedName name="Footnote3">#REF!</definedName>
    <definedName name="FormatMod.FormatMaster" localSheetId="7">WACC!FormatMod.FormatMaster</definedName>
    <definedName name="FormatMod.FormatMaster">[0]!FormatMod.FormatMaster</definedName>
    <definedName name="franc" localSheetId="7">#REF!</definedName>
    <definedName name="franc">#REF!</definedName>
    <definedName name="FreezeCell" localSheetId="7">#REF!</definedName>
    <definedName name="FreezeCell">#REF!</definedName>
    <definedName name="FreqCell" localSheetId="7">#REF!</definedName>
    <definedName name="FreqCell">#REF!</definedName>
    <definedName name="FreqName">#REF!</definedName>
    <definedName name="FreqReturn">#REF!</definedName>
    <definedName name="FreqSet">#REF!</definedName>
    <definedName name="Frequency">#REF!</definedName>
    <definedName name="FwdEPS">#REF!</definedName>
    <definedName name="FwdRev">#REF!</definedName>
    <definedName name="fwdRev_Range">#REF!</definedName>
    <definedName name="FY_Q">#REF!</definedName>
    <definedName name="GraphbuildingMod.ChangeTicker" localSheetId="7">WACC!GraphbuildingMod.ChangeTicker</definedName>
    <definedName name="GraphbuildingMod.ChangeTicker">[0]!GraphbuildingMod.ChangeTicker</definedName>
    <definedName name="GraphbuildingMod.editgraph" localSheetId="7">WACC!GraphbuildingMod.editgraph</definedName>
    <definedName name="GraphbuildingMod.editgraph">[0]!GraphbuildingMod.editgraph</definedName>
    <definedName name="GraphbuildingMod.ExportData" localSheetId="7">WACC!GraphbuildingMod.ExportData</definedName>
    <definedName name="GraphbuildingMod.ExportData">[0]!GraphbuildingMod.ExportData</definedName>
    <definedName name="GraphbuildingMod.LayoutSet" localSheetId="7">WACC!GraphbuildingMod.LayoutSet</definedName>
    <definedName name="GraphbuildingMod.LayoutSet">[0]!GraphbuildingMod.LayoutSet</definedName>
    <definedName name="GraphbuildingMod.PasteGraph" localSheetId="7">WACC!GraphbuildingMod.PasteGraph</definedName>
    <definedName name="GraphbuildingMod.PasteGraph">[0]!GraphbuildingMod.PasteGraph</definedName>
    <definedName name="GraphbuildingMod.PrintPreview" localSheetId="7">WACC!GraphbuildingMod.PrintPreview</definedName>
    <definedName name="GraphbuildingMod.PrintPreview">[0]!GraphbuildingMod.PrintPreview</definedName>
    <definedName name="GraphbuildingMod.ShowData" localSheetId="7">WACC!GraphbuildingMod.ShowData</definedName>
    <definedName name="GraphbuildingMod.ShowData">[0]!GraphbuildingMod.ShowData</definedName>
    <definedName name="GraphbuildingMod.ShowGraph" localSheetId="7">WACC!GraphbuildingMod.ShowGraph</definedName>
    <definedName name="GraphbuildingMod.ShowGraph">[0]!GraphbuildingMod.ShowGraph</definedName>
    <definedName name="GraphCompBuild" localSheetId="7">WACC!GraphCompBuild</definedName>
    <definedName name="GraphCompBuild">[0]!GraphCompBuild</definedName>
    <definedName name="Graphexitmsg" localSheetId="7">WACC!Graphexitmsg</definedName>
    <definedName name="Graphexitmsg">[0]!Graphexitmsg</definedName>
    <definedName name="GraphIntroMod.exitmsg" localSheetId="7">WACC!GraphIntroMod.exitmsg</definedName>
    <definedName name="GraphIntroMod.exitmsg">[0]!GraphIntroMod.exitmsg</definedName>
    <definedName name="GraphIntroMod.Graphexitmsg" localSheetId="7">WACC!GraphIntroMod.Graphexitmsg</definedName>
    <definedName name="GraphIntroMod.Graphexitmsg">[0]!GraphIntroMod.Graphexitmsg</definedName>
    <definedName name="Graphprint" localSheetId="7">#REF!</definedName>
    <definedName name="Graphprint">#REF!</definedName>
    <definedName name="GraphStart" localSheetId="7">#REF!</definedName>
    <definedName name="GraphStart">#REF!</definedName>
    <definedName name="headcount_Range">#REF!</definedName>
    <definedName name="Header_Left">#REF!</definedName>
    <definedName name="HeaderFormat" localSheetId="7">WACC!HeaderFormat</definedName>
    <definedName name="HeaderFormat">[0]!HeaderFormat</definedName>
    <definedName name="HeaderSpot" localSheetId="7">#REF!</definedName>
    <definedName name="HeaderSpot">#REF!</definedName>
    <definedName name="HelpTest" localSheetId="7">WACC!HelpTest</definedName>
    <definedName name="HelpTest">[0]!HelpTest</definedName>
    <definedName name="HighPrice" localSheetId="7">#REF!</definedName>
    <definedName name="HighPrice">#REF!</definedName>
    <definedName name="HistoCell" localSheetId="7">#REF!</definedName>
    <definedName name="HistoCell">#REF!</definedName>
    <definedName name="HistoDecimalSet">#REF!</definedName>
    <definedName name="Home">#REF!</definedName>
    <definedName name="IncrementCustomNote">#REF!</definedName>
    <definedName name="IncrementCustomSet">#REF!</definedName>
    <definedName name="IncrementNote">#REF!</definedName>
    <definedName name="IncrementSet">#REF!</definedName>
    <definedName name="inputsArea">#REF!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FFICIENCY_RATIO_FDIC" hidden="1">"c6736"</definedName>
    <definedName name="IQ_EPS_EST_REUT" hidden="1">"c5453"</definedName>
    <definedName name="IQ_EPS_HIGH_EST_REUT" hidden="1">"c5454"</definedName>
    <definedName name="IQ_EPS_LOW_EST_REUT" hidden="1">"c5455"</definedName>
    <definedName name="IQ_EPS_MEDIAN_EST_REUT" hidden="1">"c5456"</definedName>
    <definedName name="IQ_EPS_NUM_EST_REUT" hidden="1">"c5451"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ST_EPS_SURPRISE" hidden="1">"c1635"</definedName>
    <definedName name="IQ_ESTIMATED_ASSESSABLE_DEPOSITS_FDIC" hidden="1">"c6490"</definedName>
    <definedName name="IQ_ESTIMATED_INSURED_DEPOSITS_FDIC" hidden="1">"c6491"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ATURITY_ONE_YEAR_LESS_FDIC" hidden="1">"c6425"</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44771.8493865741</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_TARGET_REUT" hidden="1">"c3631"</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_STDDEV_EST_REUT" hidden="1">"c3639"</definedName>
    <definedName name="IQ_REVALUATION_GAINS_FDIC" hidden="1">"c6428"</definedName>
    <definedName name="IQ_REVALUATION_LOSSES_FDIC" hidden="1">"c6429"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"c83"</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LastDate">#REF!</definedName>
    <definedName name="LastYear">#REF!</definedName>
    <definedName name="LaunchFormulaLookup" localSheetId="7">WACC!LaunchFormulaLookup</definedName>
    <definedName name="LaunchFormulaLookup">[0]!LaunchFormulaLookup</definedName>
    <definedName name="LIMIT_EBIT_EBITDA" localSheetId="7">#REF!</definedName>
    <definedName name="LIMIT_EBIT_EBITDA">#REF!</definedName>
    <definedName name="Limit_Growth">#REF!</definedName>
    <definedName name="LIMIT_PE">#REF!</definedName>
    <definedName name="loc"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wPrice" localSheetId="7">#REF!</definedName>
    <definedName name="LowPrice">#REF!</definedName>
    <definedName name="matrix" localSheetId="7">#REF!</definedName>
    <definedName name="matrix">#REF!</definedName>
    <definedName name="MaxCell" localSheetId="7">#REF!</definedName>
    <definedName name="MaxCell">#REF!</definedName>
    <definedName name="MaxRange">#REF!</definedName>
    <definedName name="MinCell">#REF!</definedName>
    <definedName name="MinRange">#REF!</definedName>
    <definedName name="Months">#REF!</definedName>
    <definedName name="Name_Tick">#REF!</definedName>
    <definedName name="NudgeReturn">#REF!</definedName>
    <definedName name="NudgeSet">#REF!</definedName>
    <definedName name="numbers">#REF!</definedName>
    <definedName name="numbersRange">#REF!</definedName>
    <definedName name="numComps">#REF!</definedName>
    <definedName name="oneDay_Range">#REF!</definedName>
    <definedName name="OnShow" localSheetId="7">WACC!OnShow</definedName>
    <definedName name="OnShow">[0]!OnShow</definedName>
    <definedName name="ovEBIT_Range" localSheetId="7">#REF!</definedName>
    <definedName name="ovEBIT_Range">#REF!</definedName>
    <definedName name="ovNI_RANGE" localSheetId="7">#REF!</definedName>
    <definedName name="ovNI_RANGE">#REF!</definedName>
    <definedName name="ovRev_RANGE">#REF!</definedName>
    <definedName name="PasteCell">#REF!</definedName>
    <definedName name="PasteGraph" localSheetId="7">WACC!PasteGraph</definedName>
    <definedName name="PasteGraph">[0]!PasteGraph</definedName>
    <definedName name="PeerNames" localSheetId="7">#REF!</definedName>
    <definedName name="PeerNames">#REF!</definedName>
    <definedName name="PeerTickers" localSheetId="7">#REF!</definedName>
    <definedName name="PeerTickers">#REF!</definedName>
    <definedName name="Pooling">#REF!</definedName>
    <definedName name="PriceMaxCell">#REF!</definedName>
    <definedName name="printFoots">#REF!</definedName>
    <definedName name="PrintGraph">#REF!</definedName>
    <definedName name="PrintPreview" localSheetId="7">WACC!PrintPreview</definedName>
    <definedName name="PrintPreview">[0]!PrintPreview</definedName>
    <definedName name="printRange" localSheetId="7">#REF!</definedName>
    <definedName name="printRange">#REF!</definedName>
    <definedName name="PrintTitle1" localSheetId="7">#REF!</definedName>
    <definedName name="PrintTitle1">#REF!</definedName>
    <definedName name="PriorStub">#REF!</definedName>
    <definedName name="Progress">#REF!</definedName>
    <definedName name="ProjectName">#REF!</definedName>
    <definedName name="purchase">#REF!</definedName>
    <definedName name="QtrDate">#REF!</definedName>
    <definedName name="QtrShares">#REF!</definedName>
    <definedName name="rDataColumns">#REF!</definedName>
    <definedName name="RefreshNote">#REF!</definedName>
    <definedName name="RefreshSet">#REF!</definedName>
    <definedName name="ResetItemView" localSheetId="7">WACC!ResetItemView</definedName>
    <definedName name="ResetItemView">[0]!ResetItemView</definedName>
    <definedName name="revGrowth_Range" localSheetId="7">#REF!</definedName>
    <definedName name="revGrowth_Range">#REF!</definedName>
    <definedName name="rGraphInfo" localSheetId="7">#REF!</definedName>
    <definedName name="rGraphInfo">#REF!</definedName>
    <definedName name="rHistoTitle">#REF!</definedName>
    <definedName name="rIndexTitle">#REF!</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PriceTitle">#REF!</definedName>
    <definedName name="rPVolTitle">#REF!</definedName>
    <definedName name="SaveReturn">#REF!</definedName>
    <definedName name="scratchClear">#REF!</definedName>
    <definedName name="sector">#REF!</definedName>
    <definedName name="SeriesFormat" localSheetId="7">WACC!SeriesFormat</definedName>
    <definedName name="SeriesFormat">[0]!SeriesFormat</definedName>
    <definedName name="Shares">#REF!</definedName>
    <definedName name="ShowData" localSheetId="7">WACC!ShowData</definedName>
    <definedName name="ShowData">[0]!ShowData</definedName>
    <definedName name="ShowDottedLine" localSheetId="7">WACC!ShowDottedLine</definedName>
    <definedName name="ShowDottedLine">[0]!ShowDottedLine</definedName>
    <definedName name="ShowGraph" localSheetId="7">WACC!ShowGraph</definedName>
    <definedName name="ShowGraph">[0]!ShowGraph</definedName>
    <definedName name="sortKey" localSheetId="7">#REF!</definedName>
    <definedName name="sortKey">#REF!</definedName>
    <definedName name="startcell" localSheetId="7">#REF!</definedName>
    <definedName name="startcell">#REF!</definedName>
    <definedName name="StartDateCell">#REF!</definedName>
    <definedName name="StatusSection">#REF!</definedName>
    <definedName name="StepCustom">#REF!</definedName>
    <definedName name="Summary">#REF!</definedName>
    <definedName name="Summary_firstrow">#REF!</definedName>
    <definedName name="SummaryClear">#REF!</definedName>
    <definedName name="SummaryTickClear">#REF!</definedName>
    <definedName name="swiss">#REF!</definedName>
    <definedName name="targ_pv">#REF!</definedName>
    <definedName name="Targ15Day">#REF!</definedName>
    <definedName name="Targ30Day">#REF!</definedName>
    <definedName name="Targ60Day">#REF!</definedName>
    <definedName name="Targ90Day">#REF!</definedName>
    <definedName name="targdate">#REF!</definedName>
    <definedName name="target">#REF!</definedName>
    <definedName name="targPart">#REF!</definedName>
    <definedName name="TargPrice">#REF!</definedName>
    <definedName name="targQ">#REF!</definedName>
    <definedName name="TargResearch">#REF!</definedName>
    <definedName name="targShares">#REF!</definedName>
    <definedName name="TargYest">#REF!</definedName>
    <definedName name="TextFormat" localSheetId="7">WACC!TextFormat</definedName>
    <definedName name="TextFormat">[0]!TextFormat</definedName>
    <definedName name="thirtyDay_Range" localSheetId="7">#REF!</definedName>
    <definedName name="thirtyDay_Range">#REF!</definedName>
    <definedName name="TickerCell" localSheetId="7">#REF!</definedName>
    <definedName name="TickerCell">#REF!</definedName>
    <definedName name="tickers">#REF!</definedName>
    <definedName name="TickerToNameOnEnter" localSheetId="7">WACC!TickerToNameOnEnter</definedName>
    <definedName name="TickerToNameOnEnter">[0]!TickerToNameOnEnter</definedName>
    <definedName name="title" localSheetId="7">#REF!</definedName>
    <definedName name="title">#REF!</definedName>
    <definedName name="Title1" localSheetId="7">#REF!</definedName>
    <definedName name="Title1">#REF!</definedName>
    <definedName name="Title2">#REF!</definedName>
    <definedName name="Title2Spot">#REF!</definedName>
    <definedName name="topScratchTick">#REF!</definedName>
    <definedName name="topSummaryTick">#REF!</definedName>
    <definedName name="topTick">#REF!</definedName>
    <definedName name="topVolume">#REF!</definedName>
    <definedName name="TotalVol">#REF!</definedName>
    <definedName name="tradStats1">#REF!</definedName>
    <definedName name="tradStats2">#REF!</definedName>
    <definedName name="VolumeCell">#REF!</definedName>
    <definedName name="VolumeComplement">#REF!</definedName>
    <definedName name="X" localSheetId="7">WACC!X</definedName>
    <definedName name="X">[0]!X</definedName>
    <definedName name="year1">#REF!</definedName>
    <definedName name="year1a">#REF!</definedName>
    <definedName name="year2">#REF!</definedName>
    <definedName name="year2a">#REF!</definedName>
    <definedName name="Yestdate">#REF!</definedName>
  </definedNames>
  <calcPr calcId="181029" calcMode="manual"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5" i="1" l="1"/>
  <c r="B6" i="1" s="1"/>
  <c r="B7" i="1" s="1"/>
  <c r="B8" i="1" s="1"/>
  <c r="B9" i="1" s="1"/>
  <c r="B10" i="1" s="1"/>
  <c r="B11" i="1" s="1"/>
  <c r="B12" i="1" s="1"/>
  <c r="B13" i="1" s="1"/>
  <c r="B14" i="1" s="1"/>
  <c r="C103" i="8"/>
  <c r="C96" i="8"/>
  <c r="C87" i="8"/>
  <c r="H83" i="8" s="1"/>
  <c r="C101" i="8"/>
  <c r="C92" i="8"/>
  <c r="C100" i="8"/>
  <c r="C94" i="8"/>
  <c r="C85" i="8"/>
  <c r="C91" i="8"/>
  <c r="E82" i="8"/>
  <c r="E83" i="8" s="1"/>
  <c r="E80" i="8"/>
  <c r="E79" i="8"/>
  <c r="I78" i="8"/>
  <c r="J78" i="8" s="1"/>
  <c r="G78" i="8"/>
  <c r="F78" i="8" s="1"/>
  <c r="E74" i="8"/>
  <c r="E75" i="8" s="1"/>
  <c r="E72" i="8"/>
  <c r="E71" i="8" s="1"/>
  <c r="G70" i="8"/>
  <c r="F70" i="8" s="1"/>
  <c r="I70" i="8"/>
  <c r="J70" i="8" s="1"/>
  <c r="F66" i="15"/>
  <c r="F67" i="15" s="1"/>
  <c r="G66" i="15"/>
  <c r="G67" i="15" s="1"/>
  <c r="H66" i="15"/>
  <c r="H67" i="15" s="1"/>
  <c r="I66" i="15"/>
  <c r="J66" i="15"/>
  <c r="J67" i="15" s="1"/>
  <c r="J69" i="15" s="1"/>
  <c r="I67" i="15"/>
  <c r="F68" i="15"/>
  <c r="F69" i="15" s="1"/>
  <c r="G68" i="15"/>
  <c r="G69" i="15" s="1"/>
  <c r="H68" i="15"/>
  <c r="I68" i="15"/>
  <c r="J68" i="15"/>
  <c r="F62" i="15"/>
  <c r="F63" i="15" s="1"/>
  <c r="G62" i="15"/>
  <c r="G63" i="15" s="1"/>
  <c r="H62" i="15"/>
  <c r="I62" i="15"/>
  <c r="J62" i="15"/>
  <c r="J63" i="15" s="1"/>
  <c r="H63" i="15"/>
  <c r="I63" i="15"/>
  <c r="F64" i="15"/>
  <c r="G64" i="15"/>
  <c r="H64" i="15"/>
  <c r="I64" i="15"/>
  <c r="I65" i="15" s="1"/>
  <c r="J64" i="15"/>
  <c r="H65" i="15"/>
  <c r="F58" i="15"/>
  <c r="G58" i="15"/>
  <c r="G59" i="15" s="1"/>
  <c r="H58" i="15"/>
  <c r="I58" i="15"/>
  <c r="I59" i="15" s="1"/>
  <c r="J58" i="15"/>
  <c r="F59" i="15"/>
  <c r="H59" i="15"/>
  <c r="J59" i="15"/>
  <c r="F60" i="15"/>
  <c r="F61" i="15" s="1"/>
  <c r="G60" i="15"/>
  <c r="G61" i="15" s="1"/>
  <c r="H60" i="15"/>
  <c r="I60" i="15"/>
  <c r="J60" i="15"/>
  <c r="F57" i="15"/>
  <c r="G57" i="15"/>
  <c r="H57" i="15"/>
  <c r="I57" i="15"/>
  <c r="J57" i="15"/>
  <c r="F42" i="15"/>
  <c r="G42" i="15"/>
  <c r="H42" i="15"/>
  <c r="I42" i="15"/>
  <c r="J42" i="15"/>
  <c r="F34" i="15"/>
  <c r="G34" i="15"/>
  <c r="H34" i="15"/>
  <c r="I34" i="15"/>
  <c r="J34" i="15"/>
  <c r="F32" i="15"/>
  <c r="G32" i="15"/>
  <c r="H32" i="15"/>
  <c r="I32" i="15"/>
  <c r="J32" i="15"/>
  <c r="E33" i="15"/>
  <c r="F27" i="15"/>
  <c r="G27" i="15"/>
  <c r="H27" i="15"/>
  <c r="I27" i="15"/>
  <c r="J27" i="15"/>
  <c r="F29" i="15"/>
  <c r="G29" i="15"/>
  <c r="H29" i="15"/>
  <c r="I29" i="15"/>
  <c r="J29" i="15"/>
  <c r="F30" i="15"/>
  <c r="G30" i="15"/>
  <c r="H30" i="15"/>
  <c r="I30" i="15"/>
  <c r="J30" i="15"/>
  <c r="E22" i="15"/>
  <c r="E53" i="15" s="1"/>
  <c r="F20" i="15"/>
  <c r="G20" i="15"/>
  <c r="H20" i="15"/>
  <c r="I20" i="15"/>
  <c r="J20" i="15"/>
  <c r="F19" i="15"/>
  <c r="G19" i="15"/>
  <c r="H19" i="15"/>
  <c r="I19" i="15"/>
  <c r="J19" i="15"/>
  <c r="F18" i="15"/>
  <c r="G18" i="15"/>
  <c r="H18" i="15"/>
  <c r="I18" i="15"/>
  <c r="J18" i="15"/>
  <c r="F16" i="15"/>
  <c r="G16" i="15"/>
  <c r="H16" i="15"/>
  <c r="I16" i="15"/>
  <c r="J16" i="15"/>
  <c r="E16" i="15"/>
  <c r="F11" i="15"/>
  <c r="G11" i="15"/>
  <c r="H11" i="15"/>
  <c r="I11" i="15"/>
  <c r="J11" i="15"/>
  <c r="F10" i="15"/>
  <c r="G10" i="15"/>
  <c r="H10" i="15"/>
  <c r="I10" i="15"/>
  <c r="J10" i="15"/>
  <c r="E10" i="15"/>
  <c r="F9" i="15"/>
  <c r="F28" i="15" s="1"/>
  <c r="G9" i="15"/>
  <c r="G28" i="15" s="1"/>
  <c r="H9" i="15"/>
  <c r="H28" i="15" s="1"/>
  <c r="I9" i="15"/>
  <c r="I28" i="15" s="1"/>
  <c r="J9" i="15"/>
  <c r="J28" i="15" s="1"/>
  <c r="F8" i="15"/>
  <c r="G8" i="15"/>
  <c r="H8" i="15"/>
  <c r="I8" i="15"/>
  <c r="J8" i="15"/>
  <c r="F7" i="15"/>
  <c r="G7" i="15"/>
  <c r="H7" i="15"/>
  <c r="I7" i="15"/>
  <c r="J7" i="15"/>
  <c r="C25" i="14"/>
  <c r="D25" i="14" s="1"/>
  <c r="E25" i="14" s="1"/>
  <c r="F25" i="14" s="1"/>
  <c r="G25" i="14" s="1"/>
  <c r="H25" i="14" s="1"/>
  <c r="I25" i="14" s="1"/>
  <c r="C23" i="14"/>
  <c r="D23" i="14" s="1"/>
  <c r="B25" i="14"/>
  <c r="B23" i="14"/>
  <c r="B24" i="14" s="1"/>
  <c r="B26" i="14" s="1"/>
  <c r="D22" i="14"/>
  <c r="E22" i="14"/>
  <c r="F22" i="14"/>
  <c r="G22" i="14"/>
  <c r="H22" i="14" s="1"/>
  <c r="I22" i="14" s="1"/>
  <c r="C22" i="14"/>
  <c r="C18" i="14"/>
  <c r="D18" i="14" s="1"/>
  <c r="E18" i="14" s="1"/>
  <c r="F18" i="14" s="1"/>
  <c r="G18" i="14" s="1"/>
  <c r="H18" i="14" s="1"/>
  <c r="I18" i="14" s="1"/>
  <c r="J18" i="14" s="1"/>
  <c r="K18" i="14" s="1"/>
  <c r="L18" i="14" s="1"/>
  <c r="C16" i="14"/>
  <c r="D16" i="14" s="1"/>
  <c r="B18" i="14"/>
  <c r="B16" i="14"/>
  <c r="C13" i="14"/>
  <c r="D13" i="14" s="1"/>
  <c r="E13" i="14" s="1"/>
  <c r="F13" i="14" s="1"/>
  <c r="G13" i="14" s="1"/>
  <c r="H13" i="14" s="1"/>
  <c r="I13" i="14" s="1"/>
  <c r="J13" i="14" s="1"/>
  <c r="K13" i="14" s="1"/>
  <c r="L13" i="14" s="1"/>
  <c r="G65" i="15" l="1"/>
  <c r="I69" i="15"/>
  <c r="H61" i="15"/>
  <c r="F65" i="15"/>
  <c r="F70" i="15" s="1"/>
  <c r="H69" i="15"/>
  <c r="H70" i="15" s="1"/>
  <c r="G70" i="15"/>
  <c r="J61" i="15"/>
  <c r="J70" i="15" s="1"/>
  <c r="J65" i="15"/>
  <c r="G79" i="8"/>
  <c r="I81" i="8"/>
  <c r="G80" i="8"/>
  <c r="J82" i="8"/>
  <c r="G81" i="8"/>
  <c r="I83" i="8"/>
  <c r="F79" i="8"/>
  <c r="H81" i="8"/>
  <c r="J83" i="8"/>
  <c r="C102" i="8"/>
  <c r="C104" i="8" s="1"/>
  <c r="F80" i="8"/>
  <c r="H82" i="8"/>
  <c r="I82" i="8"/>
  <c r="H80" i="8"/>
  <c r="H79" i="8"/>
  <c r="I80" i="8"/>
  <c r="J81" i="8"/>
  <c r="F83" i="8"/>
  <c r="I79" i="8"/>
  <c r="J80" i="8"/>
  <c r="F82" i="8"/>
  <c r="G83" i="8"/>
  <c r="J79" i="8"/>
  <c r="F81" i="8"/>
  <c r="G82" i="8"/>
  <c r="I61" i="15"/>
  <c r="D24" i="14"/>
  <c r="D26" i="14" s="1"/>
  <c r="E23" i="14"/>
  <c r="C24" i="14"/>
  <c r="C26" i="14" s="1"/>
  <c r="E16" i="14"/>
  <c r="F16" i="14" s="1"/>
  <c r="G16" i="14" s="1"/>
  <c r="H16" i="14" s="1"/>
  <c r="I16" i="14" s="1"/>
  <c r="J16" i="14" s="1"/>
  <c r="K16" i="14" s="1"/>
  <c r="L16" i="14" s="1"/>
  <c r="D68" i="15"/>
  <c r="D69" i="15" s="1"/>
  <c r="E68" i="15"/>
  <c r="C68" i="15"/>
  <c r="D67" i="15"/>
  <c r="B66" i="15"/>
  <c r="B67" i="15" s="1"/>
  <c r="C66" i="15"/>
  <c r="C67" i="15" s="1"/>
  <c r="D66" i="15"/>
  <c r="E66" i="15"/>
  <c r="E67" i="15" s="1"/>
  <c r="D64" i="15"/>
  <c r="E64" i="15"/>
  <c r="E65" i="15" s="1"/>
  <c r="C64" i="15"/>
  <c r="C63" i="15"/>
  <c r="C65" i="15" s="1"/>
  <c r="E63" i="15"/>
  <c r="B63" i="15"/>
  <c r="B62" i="15"/>
  <c r="C62" i="15"/>
  <c r="D62" i="15"/>
  <c r="D63" i="15" s="1"/>
  <c r="E62" i="15"/>
  <c r="C61" i="15"/>
  <c r="D60" i="15"/>
  <c r="E60" i="15"/>
  <c r="C60" i="15"/>
  <c r="C59" i="15"/>
  <c r="D59" i="15"/>
  <c r="D61" i="15" s="1"/>
  <c r="E59" i="15"/>
  <c r="E61" i="15" s="1"/>
  <c r="B59" i="15"/>
  <c r="B58" i="15"/>
  <c r="C58" i="15"/>
  <c r="D58" i="15"/>
  <c r="E58" i="15"/>
  <c r="C57" i="15"/>
  <c r="D57" i="15"/>
  <c r="E57" i="15"/>
  <c r="B57" i="15"/>
  <c r="D54" i="15"/>
  <c r="E54" i="15"/>
  <c r="C54" i="15"/>
  <c r="B54" i="15"/>
  <c r="C53" i="15"/>
  <c r="D49" i="15"/>
  <c r="E49" i="15"/>
  <c r="B49" i="15"/>
  <c r="B48" i="15"/>
  <c r="C48" i="15"/>
  <c r="D48" i="15"/>
  <c r="E48" i="15"/>
  <c r="B47" i="15"/>
  <c r="C47" i="15"/>
  <c r="C49" i="15" s="1"/>
  <c r="D47" i="15"/>
  <c r="E47" i="15"/>
  <c r="D44" i="15"/>
  <c r="B43" i="15"/>
  <c r="C43" i="15"/>
  <c r="C44" i="15" s="1"/>
  <c r="C46" i="15" s="1"/>
  <c r="D43" i="15"/>
  <c r="E43" i="15"/>
  <c r="E44" i="15" s="1"/>
  <c r="B42" i="15"/>
  <c r="B44" i="15" s="1"/>
  <c r="C42" i="15"/>
  <c r="D42" i="15"/>
  <c r="E42" i="15"/>
  <c r="D40" i="15"/>
  <c r="E40" i="15"/>
  <c r="C40" i="15"/>
  <c r="D39" i="15"/>
  <c r="E39" i="15"/>
  <c r="C39" i="15"/>
  <c r="D38" i="15"/>
  <c r="E38" i="15"/>
  <c r="C38" i="15"/>
  <c r="C37" i="15"/>
  <c r="C41" i="15" s="1"/>
  <c r="D36" i="15"/>
  <c r="E36" i="15"/>
  <c r="E37" i="15" s="1"/>
  <c r="E41" i="15" s="1"/>
  <c r="C36" i="15"/>
  <c r="D35" i="15"/>
  <c r="E35" i="15"/>
  <c r="C35" i="15"/>
  <c r="B34" i="15"/>
  <c r="C34" i="15"/>
  <c r="D34" i="15"/>
  <c r="E34" i="15"/>
  <c r="C33" i="15"/>
  <c r="D33" i="15"/>
  <c r="D37" i="15" s="1"/>
  <c r="D41" i="15" s="1"/>
  <c r="B33" i="15"/>
  <c r="C32" i="15"/>
  <c r="D32" i="15"/>
  <c r="E32" i="15"/>
  <c r="B32" i="15"/>
  <c r="C31" i="15"/>
  <c r="D31" i="15"/>
  <c r="E31" i="15"/>
  <c r="B31" i="15"/>
  <c r="B29" i="15"/>
  <c r="C29" i="15"/>
  <c r="D29" i="15"/>
  <c r="E29" i="15"/>
  <c r="B30" i="15"/>
  <c r="C30" i="15"/>
  <c r="D30" i="15"/>
  <c r="E30" i="15"/>
  <c r="C28" i="15"/>
  <c r="D28" i="15"/>
  <c r="E28" i="15"/>
  <c r="D27" i="15"/>
  <c r="E27" i="15"/>
  <c r="C27" i="15"/>
  <c r="C24" i="15"/>
  <c r="D45" i="15" s="1"/>
  <c r="D24" i="15"/>
  <c r="E45" i="15" s="1"/>
  <c r="E46" i="15" s="1"/>
  <c r="E24" i="15"/>
  <c r="E52" i="15" s="1"/>
  <c r="B23" i="15"/>
  <c r="C23" i="15"/>
  <c r="D23" i="15"/>
  <c r="E23" i="15"/>
  <c r="B22" i="15"/>
  <c r="B24" i="15" s="1"/>
  <c r="C45" i="15" s="1"/>
  <c r="C22" i="15"/>
  <c r="D22" i="15"/>
  <c r="D53" i="15" s="1"/>
  <c r="B21" i="15"/>
  <c r="C21" i="15"/>
  <c r="D21" i="15"/>
  <c r="E21" i="15"/>
  <c r="B20" i="15"/>
  <c r="C20" i="15"/>
  <c r="D20" i="15"/>
  <c r="E20" i="15"/>
  <c r="B19" i="15"/>
  <c r="C19" i="15"/>
  <c r="D19" i="15"/>
  <c r="E19" i="15"/>
  <c r="B18" i="15"/>
  <c r="C18" i="15"/>
  <c r="D18" i="15"/>
  <c r="E18" i="15"/>
  <c r="B17" i="15"/>
  <c r="C17" i="15"/>
  <c r="D17" i="15"/>
  <c r="E17" i="15"/>
  <c r="B16" i="15"/>
  <c r="C16" i="15"/>
  <c r="D16" i="15"/>
  <c r="B15" i="15"/>
  <c r="C15" i="15"/>
  <c r="D15" i="15"/>
  <c r="E15" i="15"/>
  <c r="B14" i="15"/>
  <c r="C14" i="15"/>
  <c r="D14" i="15"/>
  <c r="E14" i="15"/>
  <c r="B13" i="15"/>
  <c r="C13" i="15"/>
  <c r="D13" i="15"/>
  <c r="E13" i="15"/>
  <c r="C12" i="15"/>
  <c r="D12" i="15"/>
  <c r="E12" i="15"/>
  <c r="B12" i="15"/>
  <c r="B11" i="15"/>
  <c r="C11" i="15"/>
  <c r="D11" i="15"/>
  <c r="E11" i="15"/>
  <c r="B10" i="15"/>
  <c r="C10" i="15"/>
  <c r="D10" i="15"/>
  <c r="D9" i="15"/>
  <c r="E9" i="15"/>
  <c r="B9" i="15"/>
  <c r="B28" i="15" s="1"/>
  <c r="B8" i="15"/>
  <c r="C8" i="15"/>
  <c r="D8" i="15"/>
  <c r="E8" i="15"/>
  <c r="B7" i="15"/>
  <c r="C7" i="15"/>
  <c r="C9" i="15" s="1"/>
  <c r="D7" i="15"/>
  <c r="E7" i="15"/>
  <c r="B32" i="14"/>
  <c r="C32" i="14" s="1"/>
  <c r="D32" i="14" s="1"/>
  <c r="E32" i="14" s="1"/>
  <c r="F32" i="14" s="1"/>
  <c r="G32" i="14" s="1"/>
  <c r="H32" i="14" s="1"/>
  <c r="I32" i="14" s="1"/>
  <c r="J32" i="14" s="1"/>
  <c r="K32" i="14" s="1"/>
  <c r="L32" i="14" s="1"/>
  <c r="M32" i="14" s="1"/>
  <c r="N32" i="14" s="1"/>
  <c r="O32" i="14" s="1"/>
  <c r="B7" i="14"/>
  <c r="B8" i="14" s="1"/>
  <c r="B3" i="14"/>
  <c r="D11" i="13"/>
  <c r="D10" i="13"/>
  <c r="D9" i="13"/>
  <c r="D8" i="13"/>
  <c r="C29" i="14"/>
  <c r="D29" i="14" s="1"/>
  <c r="E29" i="14" s="1"/>
  <c r="F29" i="14" s="1"/>
  <c r="G29" i="14" s="1"/>
  <c r="H29" i="14" s="1"/>
  <c r="I29" i="14" s="1"/>
  <c r="J29" i="14" s="1"/>
  <c r="K29" i="14" s="1"/>
  <c r="L29" i="14" s="1"/>
  <c r="M29" i="14" s="1"/>
  <c r="N29" i="14" s="1"/>
  <c r="O29" i="14" s="1"/>
  <c r="C6" i="14"/>
  <c r="D6" i="14" s="1"/>
  <c r="E6" i="14" s="1"/>
  <c r="F6" i="14" s="1"/>
  <c r="G6" i="14" s="1"/>
  <c r="H6" i="14" s="1"/>
  <c r="I6" i="14" s="1"/>
  <c r="I98" i="13"/>
  <c r="B98" i="13" s="1"/>
  <c r="I96" i="13"/>
  <c r="H95" i="13"/>
  <c r="H97" i="13" s="1"/>
  <c r="G95" i="13"/>
  <c r="G97" i="13" s="1"/>
  <c r="F95" i="13"/>
  <c r="F97" i="13" s="1"/>
  <c r="I94" i="13"/>
  <c r="I93" i="13"/>
  <c r="H93" i="13"/>
  <c r="G93" i="13"/>
  <c r="F93" i="13"/>
  <c r="I92" i="13"/>
  <c r="B92" i="13"/>
  <c r="I91" i="13"/>
  <c r="H84" i="13"/>
  <c r="I84" i="13" s="1"/>
  <c r="I85" i="13" s="1"/>
  <c r="B82" i="13" s="1"/>
  <c r="B83" i="13" s="1"/>
  <c r="G84" i="13"/>
  <c r="B84" i="13"/>
  <c r="B86" i="13" s="1"/>
  <c r="B70" i="13"/>
  <c r="B66" i="13"/>
  <c r="B64" i="13"/>
  <c r="H56" i="13"/>
  <c r="I56" i="13" s="1"/>
  <c r="B56" i="13"/>
  <c r="H55" i="13"/>
  <c r="I55" i="13" s="1"/>
  <c r="H54" i="13"/>
  <c r="I54" i="13" s="1"/>
  <c r="I57" i="13" s="1"/>
  <c r="B52" i="13" s="1"/>
  <c r="B53" i="13" s="1"/>
  <c r="G54" i="13"/>
  <c r="B54" i="13"/>
  <c r="E69" i="15" l="1"/>
  <c r="E70" i="15"/>
  <c r="C70" i="15"/>
  <c r="D70" i="15"/>
  <c r="D46" i="15"/>
  <c r="D65" i="15"/>
  <c r="C69" i="15"/>
  <c r="B52" i="15"/>
  <c r="D52" i="15"/>
  <c r="C52" i="15"/>
  <c r="I70" i="15"/>
  <c r="B53" i="15"/>
  <c r="E24" i="14"/>
  <c r="E26" i="14" s="1"/>
  <c r="F23" i="14"/>
  <c r="C7" i="14"/>
  <c r="C92" i="13"/>
  <c r="B8" i="13" s="1"/>
  <c r="C98" i="13"/>
  <c r="B11" i="13" s="1"/>
  <c r="B90" i="13"/>
  <c r="I97" i="13"/>
  <c r="B96" i="13" s="1"/>
  <c r="C96" i="13" s="1"/>
  <c r="B10" i="13" s="1"/>
  <c r="C61" i="13"/>
  <c r="C8" i="13" s="1"/>
  <c r="B59" i="13"/>
  <c r="C66" i="13" s="1"/>
  <c r="C9" i="13" s="1"/>
  <c r="C70" i="13"/>
  <c r="C10" i="13" s="1"/>
  <c r="C72" i="13"/>
  <c r="C11" i="13" s="1"/>
  <c r="I95" i="13"/>
  <c r="B94" i="13" s="1"/>
  <c r="F24" i="14" l="1"/>
  <c r="F26" i="14" s="1"/>
  <c r="G23" i="14"/>
  <c r="D7" i="14"/>
  <c r="C8" i="14"/>
  <c r="C94" i="13"/>
  <c r="B9" i="13" s="1"/>
  <c r="H23" i="14" l="1"/>
  <c r="G24" i="14"/>
  <c r="G26" i="14" s="1"/>
  <c r="E7" i="14"/>
  <c r="D8" i="14"/>
  <c r="H20" i="12"/>
  <c r="H15" i="12"/>
  <c r="H17" i="12" s="1"/>
  <c r="H16" i="12"/>
  <c r="M26" i="12"/>
  <c r="N26" i="12" s="1"/>
  <c r="O26" i="12" s="1"/>
  <c r="H10" i="12" s="1"/>
  <c r="H11" i="12" s="1"/>
  <c r="H13" i="12" s="1"/>
  <c r="H38" i="12"/>
  <c r="H34" i="12"/>
  <c r="H30" i="12"/>
  <c r="H42" i="12" s="1"/>
  <c r="H26" i="12"/>
  <c r="H37" i="12"/>
  <c r="H33" i="12"/>
  <c r="H29" i="12"/>
  <c r="H41" i="12" s="1"/>
  <c r="H25" i="12"/>
  <c r="N53" i="12"/>
  <c r="N56" i="12" s="1"/>
  <c r="N55" i="12"/>
  <c r="L55" i="12"/>
  <c r="L54" i="12"/>
  <c r="N54" i="12"/>
  <c r="N52" i="12"/>
  <c r="N51" i="12"/>
  <c r="N50" i="12"/>
  <c r="N49" i="12"/>
  <c r="N48" i="12"/>
  <c r="M51" i="12"/>
  <c r="M50" i="12"/>
  <c r="M49" i="12"/>
  <c r="M53" i="12" s="1"/>
  <c r="M56" i="12" s="1"/>
  <c r="M52" i="12"/>
  <c r="M55" i="12"/>
  <c r="M54" i="12"/>
  <c r="M48" i="12"/>
  <c r="E41" i="12"/>
  <c r="E37" i="12"/>
  <c r="E33" i="12"/>
  <c r="E29" i="12"/>
  <c r="E25" i="12"/>
  <c r="E21" i="12"/>
  <c r="E15" i="12"/>
  <c r="E16" i="12"/>
  <c r="L52" i="12"/>
  <c r="L51" i="12"/>
  <c r="L50" i="12"/>
  <c r="L49" i="12"/>
  <c r="L53" i="12" s="1"/>
  <c r="L56" i="12" s="1"/>
  <c r="L48" i="12"/>
  <c r="H24" i="14" l="1"/>
  <c r="H26" i="14" s="1"/>
  <c r="I23" i="14"/>
  <c r="I24" i="14" s="1"/>
  <c r="I26" i="14" s="1"/>
  <c r="F7" i="14"/>
  <c r="E8" i="14"/>
  <c r="I42" i="12"/>
  <c r="I41" i="12"/>
  <c r="I33" i="12"/>
  <c r="I26" i="12"/>
  <c r="I25" i="12"/>
  <c r="I34" i="12"/>
  <c r="H22" i="12"/>
  <c r="G7" i="14" l="1"/>
  <c r="F8" i="14"/>
  <c r="I30" i="12"/>
  <c r="I29" i="12"/>
  <c r="H7" i="14" l="1"/>
  <c r="G8" i="14"/>
  <c r="E17" i="12"/>
  <c r="H8" i="14" l="1"/>
  <c r="I7" i="14"/>
  <c r="I8" i="14" s="1"/>
  <c r="M19" i="12"/>
  <c r="N19" i="12" s="1"/>
  <c r="O19" i="12" s="1"/>
  <c r="M18" i="12"/>
  <c r="N18" i="12" s="1"/>
  <c r="O18" i="12" s="1"/>
  <c r="M17" i="12"/>
  <c r="N17" i="12" s="1"/>
  <c r="O17" i="12" s="1"/>
  <c r="M16" i="12"/>
  <c r="N16" i="12" s="1"/>
  <c r="O16" i="12" s="1"/>
  <c r="O20" i="12" l="1"/>
  <c r="E10" i="12" s="1"/>
  <c r="E11" i="12" s="1"/>
  <c r="E13" i="12" s="1"/>
  <c r="F33" i="12" l="1"/>
  <c r="F41" i="12"/>
  <c r="E22" i="12"/>
  <c r="F29" i="12" s="1"/>
  <c r="F25" i="12"/>
  <c r="B38" i="12" l="1"/>
  <c r="B34" i="12"/>
  <c r="B30" i="12"/>
  <c r="B29" i="12"/>
  <c r="B26" i="12"/>
  <c r="B25" i="12"/>
  <c r="L36" i="12"/>
  <c r="L39" i="12" s="1"/>
  <c r="N36" i="12"/>
  <c r="N39" i="12" s="1"/>
  <c r="M38" i="12"/>
  <c r="M37" i="12"/>
  <c r="M35" i="12"/>
  <c r="M34" i="12"/>
  <c r="M36" i="12" s="1"/>
  <c r="M39" i="12" s="1"/>
  <c r="M33" i="12"/>
  <c r="B15" i="12"/>
  <c r="B17" i="12" s="1"/>
  <c r="R12" i="12"/>
  <c r="S8" i="12"/>
  <c r="Q12" i="12" s="1"/>
  <c r="S12" i="12" s="1"/>
  <c r="R16" i="12" s="1"/>
  <c r="S16" i="12" s="1"/>
  <c r="B42" i="12" l="1"/>
  <c r="B14" i="14"/>
  <c r="B30" i="14"/>
  <c r="B36" i="13"/>
  <c r="B40" i="13" s="1"/>
  <c r="B26" i="13"/>
  <c r="F17" i="13"/>
  <c r="B16" i="13"/>
  <c r="B17" i="13" s="1"/>
  <c r="O55" i="12"/>
  <c r="O54" i="12"/>
  <c r="O52" i="12"/>
  <c r="O51" i="12"/>
  <c r="O50" i="12"/>
  <c r="O49" i="12"/>
  <c r="O48" i="12"/>
  <c r="O38" i="12"/>
  <c r="B37" i="12" s="1"/>
  <c r="B41" i="12" s="1"/>
  <c r="O37" i="12"/>
  <c r="B33" i="12" s="1"/>
  <c r="O35" i="12"/>
  <c r="O34" i="12"/>
  <c r="O36" i="12" s="1"/>
  <c r="O33" i="12"/>
  <c r="M9" i="12"/>
  <c r="N9" i="12" s="1"/>
  <c r="O9" i="12" s="1"/>
  <c r="B10" i="12" s="1"/>
  <c r="B11" i="12" s="1"/>
  <c r="D60" i="8"/>
  <c r="F45" i="8"/>
  <c r="G45" i="8"/>
  <c r="H45" i="8"/>
  <c r="I45" i="8"/>
  <c r="J45" i="8"/>
  <c r="F44" i="8"/>
  <c r="G44" i="8"/>
  <c r="H44" i="8"/>
  <c r="I44" i="8"/>
  <c r="J44" i="8"/>
  <c r="C79" i="8"/>
  <c r="C75" i="8"/>
  <c r="H63" i="8"/>
  <c r="J63" i="8" s="1"/>
  <c r="F65" i="8" s="1"/>
  <c r="B8" i="9"/>
  <c r="C8" i="9"/>
  <c r="L6" i="9"/>
  <c r="D8" i="9" s="1"/>
  <c r="A8" i="9"/>
  <c r="B14" i="9" s="1"/>
  <c r="F7" i="10"/>
  <c r="D10" i="10" s="1"/>
  <c r="F6" i="10"/>
  <c r="D38" i="11"/>
  <c r="B28" i="11"/>
  <c r="A28" i="11"/>
  <c r="B27" i="11"/>
  <c r="A27" i="11"/>
  <c r="B26" i="11"/>
  <c r="A26" i="11"/>
  <c r="B25" i="11"/>
  <c r="A25" i="11"/>
  <c r="B24" i="11"/>
  <c r="A24" i="11"/>
  <c r="B23" i="11"/>
  <c r="A23" i="11"/>
  <c r="D19" i="11"/>
  <c r="D17" i="11"/>
  <c r="D15" i="11"/>
  <c r="D37" i="11" s="1"/>
  <c r="D54" i="6"/>
  <c r="D56" i="6" s="1"/>
  <c r="D57" i="6" s="1"/>
  <c r="E54" i="6"/>
  <c r="E56" i="6" s="1"/>
  <c r="E57" i="6" s="1"/>
  <c r="F54" i="6"/>
  <c r="G54" i="6"/>
  <c r="H54" i="6"/>
  <c r="I54" i="6"/>
  <c r="I56" i="6" s="1"/>
  <c r="I57" i="6" s="1"/>
  <c r="J54" i="6"/>
  <c r="J56" i="6" s="1"/>
  <c r="J57" i="6" s="1"/>
  <c r="K54" i="6"/>
  <c r="K56" i="6" s="1"/>
  <c r="K57" i="6" s="1"/>
  <c r="M58" i="6" s="1"/>
  <c r="L54" i="6"/>
  <c r="M54" i="6"/>
  <c r="F56" i="6"/>
  <c r="F57" i="6" s="1"/>
  <c r="G56" i="6"/>
  <c r="G57" i="6" s="1"/>
  <c r="H56" i="6"/>
  <c r="H57" i="6" s="1"/>
  <c r="L56" i="6"/>
  <c r="L57" i="6" s="1"/>
  <c r="M56" i="6"/>
  <c r="M57" i="6" s="1"/>
  <c r="C54" i="6"/>
  <c r="C56" i="6" s="1"/>
  <c r="C57" i="6" s="1"/>
  <c r="M63" i="6" s="1"/>
  <c r="D52" i="6"/>
  <c r="E52" i="6"/>
  <c r="F52" i="6"/>
  <c r="G52" i="6"/>
  <c r="H52" i="6"/>
  <c r="I52" i="6"/>
  <c r="J52" i="6"/>
  <c r="K52" i="6"/>
  <c r="L52" i="6"/>
  <c r="M52" i="6"/>
  <c r="C52" i="6"/>
  <c r="D50" i="6"/>
  <c r="E50" i="6"/>
  <c r="F50" i="6"/>
  <c r="G50" i="6"/>
  <c r="H50" i="6"/>
  <c r="I50" i="6"/>
  <c r="J50" i="6"/>
  <c r="K50" i="6"/>
  <c r="L50" i="6"/>
  <c r="M50" i="6"/>
  <c r="C50" i="6"/>
  <c r="R9" i="9"/>
  <c r="R11" i="9"/>
  <c r="R10" i="9"/>
  <c r="M12" i="9"/>
  <c r="M11" i="9"/>
  <c r="M10" i="9"/>
  <c r="M9" i="9"/>
  <c r="B20" i="9"/>
  <c r="B19" i="9"/>
  <c r="B23" i="9" s="1"/>
  <c r="L13" i="9"/>
  <c r="M13" i="9"/>
  <c r="M61" i="6" l="1"/>
  <c r="M62" i="6"/>
  <c r="M60" i="6"/>
  <c r="M59" i="6"/>
  <c r="B31" i="14"/>
  <c r="B33" i="14" s="1"/>
  <c r="C30" i="14"/>
  <c r="B15" i="14"/>
  <c r="B17" i="14" s="1"/>
  <c r="B19" i="14" s="1"/>
  <c r="C14" i="14"/>
  <c r="B13" i="12"/>
  <c r="C26" i="12" s="1"/>
  <c r="B34" i="14"/>
  <c r="B9" i="14"/>
  <c r="O53" i="12"/>
  <c r="O56" i="12"/>
  <c r="C25" i="12"/>
  <c r="C33" i="12"/>
  <c r="C34" i="12"/>
  <c r="B22" i="12"/>
  <c r="O39" i="12"/>
  <c r="F22" i="13"/>
  <c r="G22" i="13" s="1"/>
  <c r="H22" i="13" s="1"/>
  <c r="B19" i="13" s="1"/>
  <c r="B20" i="13" s="1"/>
  <c r="B22" i="13" s="1"/>
  <c r="G65" i="8"/>
  <c r="F66" i="8"/>
  <c r="E8" i="9"/>
  <c r="C11" i="9" s="1"/>
  <c r="D11" i="10"/>
  <c r="D12" i="10"/>
  <c r="D13" i="10" s="1"/>
  <c r="C12" i="11" s="1"/>
  <c r="C23" i="11" s="1"/>
  <c r="C15" i="14" l="1"/>
  <c r="C17" i="14" s="1"/>
  <c r="C19" i="14" s="1"/>
  <c r="D14" i="14"/>
  <c r="C31" i="14"/>
  <c r="C33" i="14" s="1"/>
  <c r="D30" i="14"/>
  <c r="C9" i="14"/>
  <c r="B10" i="14"/>
  <c r="C34" i="14"/>
  <c r="B35" i="14"/>
  <c r="C30" i="12"/>
  <c r="C29" i="12"/>
  <c r="C41" i="12"/>
  <c r="C42" i="12"/>
  <c r="C42" i="13"/>
  <c r="E11" i="13" s="1"/>
  <c r="C40" i="13"/>
  <c r="E10" i="13" s="1"/>
  <c r="C31" i="13"/>
  <c r="E8" i="13" s="1"/>
  <c r="B29" i="13"/>
  <c r="C36" i="13" s="1"/>
  <c r="E9" i="13" s="1"/>
  <c r="H65" i="8"/>
  <c r="G66" i="8"/>
  <c r="D11" i="9"/>
  <c r="C26" i="11"/>
  <c r="C28" i="11"/>
  <c r="C27" i="11"/>
  <c r="C25" i="11"/>
  <c r="C24" i="11"/>
  <c r="C29" i="11" s="1"/>
  <c r="E14" i="14" l="1"/>
  <c r="D15" i="14"/>
  <c r="D17" i="14" s="1"/>
  <c r="D19" i="14" s="1"/>
  <c r="D31" i="14"/>
  <c r="D33" i="14" s="1"/>
  <c r="E30" i="14"/>
  <c r="D34" i="14"/>
  <c r="C35" i="14"/>
  <c r="D9" i="14"/>
  <c r="C10" i="14"/>
  <c r="H66" i="8"/>
  <c r="I65" i="8"/>
  <c r="D39" i="11"/>
  <c r="D40" i="11" s="1"/>
  <c r="F33" i="11"/>
  <c r="F32" i="11"/>
  <c r="E31" i="14" l="1"/>
  <c r="E33" i="14" s="1"/>
  <c r="F30" i="14"/>
  <c r="E15" i="14"/>
  <c r="E17" i="14" s="1"/>
  <c r="E19" i="14" s="1"/>
  <c r="F14" i="14"/>
  <c r="E9" i="14"/>
  <c r="D10" i="14"/>
  <c r="E34" i="14"/>
  <c r="D35" i="14"/>
  <c r="J65" i="8"/>
  <c r="J66" i="8" s="1"/>
  <c r="I66" i="8"/>
  <c r="F15" i="14" l="1"/>
  <c r="F17" i="14" s="1"/>
  <c r="F19" i="14" s="1"/>
  <c r="G14" i="14"/>
  <c r="G30" i="14"/>
  <c r="F31" i="14"/>
  <c r="F33" i="14" s="1"/>
  <c r="F34" i="14"/>
  <c r="E35" i="14"/>
  <c r="F9" i="14"/>
  <c r="E10" i="14"/>
  <c r="G40" i="8"/>
  <c r="H40" i="8"/>
  <c r="I40" i="8"/>
  <c r="J40" i="8"/>
  <c r="F40" i="8"/>
  <c r="G20" i="8"/>
  <c r="H20" i="8"/>
  <c r="I20" i="8"/>
  <c r="J20" i="8"/>
  <c r="G21" i="8"/>
  <c r="H21" i="8"/>
  <c r="I21" i="8"/>
  <c r="J21" i="8"/>
  <c r="G26" i="8"/>
  <c r="H26" i="8"/>
  <c r="I26" i="8"/>
  <c r="J26" i="8"/>
  <c r="G27" i="8"/>
  <c r="H27" i="8"/>
  <c r="I27" i="8"/>
  <c r="J27" i="8"/>
  <c r="G28" i="8"/>
  <c r="H28" i="8"/>
  <c r="I28" i="8"/>
  <c r="J28" i="8"/>
  <c r="G29" i="8"/>
  <c r="H29" i="8"/>
  <c r="I29" i="8"/>
  <c r="J29" i="8"/>
  <c r="G14" i="8"/>
  <c r="G53" i="8" s="1"/>
  <c r="H14" i="8"/>
  <c r="H53" i="8" s="1"/>
  <c r="I14" i="8"/>
  <c r="I53" i="8" s="1"/>
  <c r="J14" i="8"/>
  <c r="J53" i="8" s="1"/>
  <c r="G15" i="8"/>
  <c r="G54" i="8" s="1"/>
  <c r="H15" i="8"/>
  <c r="H54" i="8" s="1"/>
  <c r="I15" i="8"/>
  <c r="I54" i="8" s="1"/>
  <c r="J15" i="8"/>
  <c r="J54" i="8" s="1"/>
  <c r="G16" i="8"/>
  <c r="G55" i="8" s="1"/>
  <c r="H16" i="8"/>
  <c r="H55" i="8" s="1"/>
  <c r="I16" i="8"/>
  <c r="I55" i="8" s="1"/>
  <c r="J16" i="8"/>
  <c r="J55" i="8" s="1"/>
  <c r="J17" i="8"/>
  <c r="F14" i="8"/>
  <c r="F53" i="8" s="1"/>
  <c r="G8" i="8"/>
  <c r="G50" i="8" s="1"/>
  <c r="H8" i="8"/>
  <c r="H50" i="8" s="1"/>
  <c r="I8" i="8"/>
  <c r="I50" i="8" s="1"/>
  <c r="J8" i="8"/>
  <c r="J50" i="8" s="1"/>
  <c r="G9" i="8"/>
  <c r="G51" i="8" s="1"/>
  <c r="H9" i="8"/>
  <c r="H51" i="8" s="1"/>
  <c r="I9" i="8"/>
  <c r="I51" i="8" s="1"/>
  <c r="J9" i="8"/>
  <c r="J51" i="8" s="1"/>
  <c r="G10" i="8"/>
  <c r="G52" i="8" s="1"/>
  <c r="H10" i="8"/>
  <c r="H52" i="8" s="1"/>
  <c r="I10" i="8"/>
  <c r="I52" i="8" s="1"/>
  <c r="J10" i="8"/>
  <c r="J52" i="8" s="1"/>
  <c r="F10" i="8"/>
  <c r="F52" i="8" s="1"/>
  <c r="F9" i="8"/>
  <c r="F51" i="8" s="1"/>
  <c r="F8" i="8"/>
  <c r="F50" i="8" s="1"/>
  <c r="O25" i="6"/>
  <c r="P25" i="6" s="1"/>
  <c r="Q25" i="6" s="1"/>
  <c r="R25" i="6" s="1"/>
  <c r="O26" i="6"/>
  <c r="P26" i="6"/>
  <c r="Q26" i="6"/>
  <c r="R26" i="6"/>
  <c r="O43" i="5"/>
  <c r="P43" i="5"/>
  <c r="Q43" i="5"/>
  <c r="R43" i="5"/>
  <c r="O44" i="5"/>
  <c r="P44" i="5"/>
  <c r="Q44" i="5"/>
  <c r="R44" i="5"/>
  <c r="O45" i="5"/>
  <c r="P45" i="5"/>
  <c r="Q45" i="5"/>
  <c r="R45" i="5"/>
  <c r="O46" i="5"/>
  <c r="P46" i="5"/>
  <c r="Q46" i="5"/>
  <c r="R46" i="5"/>
  <c r="O47" i="5"/>
  <c r="P47" i="5"/>
  <c r="Q47" i="5"/>
  <c r="R47" i="5"/>
  <c r="O48" i="5"/>
  <c r="O52" i="5" s="1"/>
  <c r="O55" i="5" s="1"/>
  <c r="P48" i="5"/>
  <c r="P52" i="5" s="1"/>
  <c r="P55" i="5" s="1"/>
  <c r="Q48" i="5"/>
  <c r="R48" i="5"/>
  <c r="O49" i="5"/>
  <c r="P49" i="5"/>
  <c r="Q49" i="5"/>
  <c r="R49" i="5"/>
  <c r="O50" i="5"/>
  <c r="P50" i="5"/>
  <c r="Q50" i="5"/>
  <c r="R50" i="5"/>
  <c r="O51" i="5"/>
  <c r="P51" i="5"/>
  <c r="Q51" i="5"/>
  <c r="R51" i="5"/>
  <c r="Q52" i="5"/>
  <c r="R52" i="5"/>
  <c r="R55" i="5" s="1"/>
  <c r="O54" i="5"/>
  <c r="P54" i="5"/>
  <c r="Q54" i="5"/>
  <c r="R54" i="5"/>
  <c r="F62" i="7"/>
  <c r="G62" i="7"/>
  <c r="H62" i="7"/>
  <c r="I62" i="7"/>
  <c r="F66" i="7"/>
  <c r="G66" i="7"/>
  <c r="H66" i="7"/>
  <c r="I66" i="7"/>
  <c r="F46" i="7"/>
  <c r="G46" i="7"/>
  <c r="H46" i="7"/>
  <c r="I46" i="7"/>
  <c r="I37" i="7"/>
  <c r="F37" i="7"/>
  <c r="G37" i="7"/>
  <c r="H37" i="7"/>
  <c r="F28" i="7"/>
  <c r="G28" i="7"/>
  <c r="H28" i="7"/>
  <c r="I28" i="7"/>
  <c r="I16" i="7"/>
  <c r="F19" i="7"/>
  <c r="G19" i="7"/>
  <c r="H19" i="7"/>
  <c r="I19" i="7"/>
  <c r="E19" i="7"/>
  <c r="F9" i="7"/>
  <c r="G9" i="7"/>
  <c r="H9" i="7"/>
  <c r="I9" i="7"/>
  <c r="N26" i="6"/>
  <c r="N25" i="6"/>
  <c r="E9" i="7"/>
  <c r="F36" i="8"/>
  <c r="E38" i="8"/>
  <c r="F21" i="8"/>
  <c r="F20" i="8"/>
  <c r="N44" i="5"/>
  <c r="N48" i="5"/>
  <c r="N50" i="5"/>
  <c r="C51" i="5"/>
  <c r="D51" i="5"/>
  <c r="E51" i="5"/>
  <c r="F51" i="5"/>
  <c r="G51" i="5"/>
  <c r="H51" i="5"/>
  <c r="I51" i="5"/>
  <c r="J51" i="5"/>
  <c r="K51" i="5"/>
  <c r="L51" i="5"/>
  <c r="M51" i="5"/>
  <c r="C48" i="5"/>
  <c r="C52" i="5" s="1"/>
  <c r="D48" i="5"/>
  <c r="E48" i="5"/>
  <c r="F48" i="5"/>
  <c r="G48" i="5"/>
  <c r="H48" i="5"/>
  <c r="I48" i="5"/>
  <c r="J48" i="5"/>
  <c r="K48" i="5"/>
  <c r="L48" i="5"/>
  <c r="M48" i="5"/>
  <c r="C49" i="5"/>
  <c r="D49" i="5"/>
  <c r="E49" i="5"/>
  <c r="F49" i="5"/>
  <c r="G49" i="5"/>
  <c r="H49" i="5"/>
  <c r="I49" i="5"/>
  <c r="J49" i="5"/>
  <c r="K49" i="5"/>
  <c r="L49" i="5"/>
  <c r="M49" i="5"/>
  <c r="C50" i="5"/>
  <c r="D50" i="5"/>
  <c r="E50" i="5"/>
  <c r="F50" i="5"/>
  <c r="G50" i="5"/>
  <c r="H50" i="5"/>
  <c r="I50" i="5"/>
  <c r="J50" i="5"/>
  <c r="K50" i="5"/>
  <c r="K52" i="5" s="1"/>
  <c r="L50" i="5"/>
  <c r="M50" i="5"/>
  <c r="C43" i="5"/>
  <c r="D43" i="5"/>
  <c r="E43" i="5"/>
  <c r="F43" i="5"/>
  <c r="F47" i="5" s="1"/>
  <c r="G43" i="5"/>
  <c r="H43" i="5"/>
  <c r="I43" i="5"/>
  <c r="J43" i="5"/>
  <c r="K43" i="5"/>
  <c r="L43" i="5"/>
  <c r="L47" i="5" s="1"/>
  <c r="M43" i="5"/>
  <c r="C44" i="5"/>
  <c r="D44" i="5"/>
  <c r="E44" i="5"/>
  <c r="F44" i="5"/>
  <c r="G44" i="5"/>
  <c r="H44" i="5"/>
  <c r="I44" i="5"/>
  <c r="J44" i="5"/>
  <c r="K44" i="5"/>
  <c r="L44" i="5"/>
  <c r="M44" i="5"/>
  <c r="C45" i="5"/>
  <c r="D45" i="5"/>
  <c r="E45" i="5"/>
  <c r="F45" i="5"/>
  <c r="G45" i="5"/>
  <c r="H45" i="5"/>
  <c r="I45" i="5"/>
  <c r="J45" i="5"/>
  <c r="K45" i="5"/>
  <c r="L45" i="5"/>
  <c r="M45" i="5"/>
  <c r="C46" i="5"/>
  <c r="D46" i="5"/>
  <c r="E46" i="5"/>
  <c r="F46" i="5"/>
  <c r="G46" i="5"/>
  <c r="H46" i="5"/>
  <c r="I46" i="5"/>
  <c r="J46" i="5"/>
  <c r="K46" i="5"/>
  <c r="L46" i="5"/>
  <c r="M46" i="5"/>
  <c r="E66" i="7"/>
  <c r="C62" i="7"/>
  <c r="D62" i="7"/>
  <c r="D64" i="7" s="1"/>
  <c r="B62" i="7"/>
  <c r="D52" i="7"/>
  <c r="E46" i="7"/>
  <c r="D44" i="7"/>
  <c r="E42" i="7" s="1"/>
  <c r="E44" i="7" s="1"/>
  <c r="E48" i="7" s="1"/>
  <c r="E37" i="7"/>
  <c r="D35" i="7"/>
  <c r="E33" i="7" s="1"/>
  <c r="E35" i="7" s="1"/>
  <c r="F33" i="7" s="1"/>
  <c r="F35" i="7" s="1"/>
  <c r="E28" i="7"/>
  <c r="D26" i="7"/>
  <c r="E24" i="7" s="1"/>
  <c r="E26" i="7" s="1"/>
  <c r="F24" i="7" s="1"/>
  <c r="F26" i="7" s="1"/>
  <c r="U55" i="4"/>
  <c r="V55" i="4"/>
  <c r="W55" i="4"/>
  <c r="X55" i="4" s="1"/>
  <c r="U56" i="4"/>
  <c r="V56" i="4" s="1"/>
  <c r="W56" i="4" s="1"/>
  <c r="X56" i="4" s="1"/>
  <c r="U57" i="4"/>
  <c r="V57" i="4" s="1"/>
  <c r="W57" i="4" s="1"/>
  <c r="X57" i="4" s="1"/>
  <c r="U58" i="4"/>
  <c r="V58" i="4"/>
  <c r="W58" i="4"/>
  <c r="X58" i="4" s="1"/>
  <c r="T54" i="4"/>
  <c r="U54" i="4" s="1"/>
  <c r="V54" i="4" s="1"/>
  <c r="W54" i="4" s="1"/>
  <c r="X54" i="4" s="1"/>
  <c r="D17" i="7"/>
  <c r="E16" i="7" s="1"/>
  <c r="K30" i="6"/>
  <c r="N44" i="6"/>
  <c r="O44" i="6" s="1"/>
  <c r="P44" i="6" s="1"/>
  <c r="Q44" i="6" s="1"/>
  <c r="R44" i="6" s="1"/>
  <c r="N43" i="6"/>
  <c r="F28" i="8" s="1"/>
  <c r="O43" i="6"/>
  <c r="P43" i="6"/>
  <c r="Q43" i="6"/>
  <c r="R43" i="6"/>
  <c r="N40" i="6"/>
  <c r="O40" i="6"/>
  <c r="P40" i="6"/>
  <c r="Q40" i="6"/>
  <c r="R40" i="6"/>
  <c r="N41" i="6"/>
  <c r="F27" i="8" s="1"/>
  <c r="O41" i="6"/>
  <c r="P41" i="6"/>
  <c r="Q41" i="6"/>
  <c r="R41" i="6"/>
  <c r="O36" i="6"/>
  <c r="P36" i="6"/>
  <c r="Q36" i="6"/>
  <c r="R36" i="6"/>
  <c r="N36" i="6"/>
  <c r="F16" i="8" s="1"/>
  <c r="F55" i="8" s="1"/>
  <c r="N34" i="6"/>
  <c r="O34" i="6"/>
  <c r="P34" i="6"/>
  <c r="Q34" i="6"/>
  <c r="R34" i="6"/>
  <c r="N35" i="6"/>
  <c r="O35" i="6"/>
  <c r="P35" i="6"/>
  <c r="Q35" i="6"/>
  <c r="R35" i="6"/>
  <c r="O28" i="6"/>
  <c r="P28" i="6"/>
  <c r="Q28" i="6"/>
  <c r="R28" i="6"/>
  <c r="N28" i="6"/>
  <c r="N51" i="5" s="1"/>
  <c r="O24" i="6"/>
  <c r="P24" i="6"/>
  <c r="Q24" i="6"/>
  <c r="R24" i="6"/>
  <c r="N24" i="6"/>
  <c r="O23" i="6"/>
  <c r="P23" i="6"/>
  <c r="Q23" i="6"/>
  <c r="R23" i="6"/>
  <c r="N23" i="6"/>
  <c r="N49" i="5" s="1"/>
  <c r="O22" i="6"/>
  <c r="P22" i="6"/>
  <c r="Q22" i="6"/>
  <c r="R22" i="6"/>
  <c r="N22" i="6"/>
  <c r="O18" i="6"/>
  <c r="P18" i="6"/>
  <c r="Q18" i="6"/>
  <c r="R18" i="6"/>
  <c r="N18" i="6"/>
  <c r="F15" i="8" s="1"/>
  <c r="F54" i="8" s="1"/>
  <c r="N16" i="6"/>
  <c r="O16" i="6"/>
  <c r="P16" i="6"/>
  <c r="Q16" i="6"/>
  <c r="R16" i="6"/>
  <c r="N17" i="6"/>
  <c r="O17" i="6"/>
  <c r="P17" i="6"/>
  <c r="Q17" i="6"/>
  <c r="R17" i="6"/>
  <c r="N15" i="6"/>
  <c r="O15" i="6"/>
  <c r="P15" i="6"/>
  <c r="Q15" i="6"/>
  <c r="R15" i="6"/>
  <c r="N14" i="6"/>
  <c r="O14" i="6"/>
  <c r="P14" i="6"/>
  <c r="Q14" i="6"/>
  <c r="R14" i="6"/>
  <c r="N13" i="6"/>
  <c r="O13" i="6"/>
  <c r="P13" i="6"/>
  <c r="Q13" i="6"/>
  <c r="R13" i="6"/>
  <c r="O11" i="6"/>
  <c r="P11" i="6"/>
  <c r="Q11" i="6"/>
  <c r="R11" i="6"/>
  <c r="N11" i="6"/>
  <c r="N46" i="5" s="1"/>
  <c r="N10" i="6"/>
  <c r="N45" i="5" s="1"/>
  <c r="O9" i="6"/>
  <c r="P9" i="6"/>
  <c r="Q9" i="6"/>
  <c r="R9" i="6"/>
  <c r="N9" i="6"/>
  <c r="O8" i="6"/>
  <c r="P8" i="6"/>
  <c r="Q8" i="6"/>
  <c r="R8" i="6"/>
  <c r="N8" i="6"/>
  <c r="N43" i="5" s="1"/>
  <c r="O6" i="6"/>
  <c r="P6" i="6"/>
  <c r="Q6" i="6"/>
  <c r="R6" i="6"/>
  <c r="N6" i="6"/>
  <c r="N8" i="5"/>
  <c r="O8" i="5" s="1"/>
  <c r="P8" i="5" s="1"/>
  <c r="Q8" i="5" s="1"/>
  <c r="R8" i="5" s="1"/>
  <c r="N28" i="3"/>
  <c r="O28" i="3" s="1"/>
  <c r="P28" i="3" s="1"/>
  <c r="Q28" i="3" s="1"/>
  <c r="R28" i="3" s="1"/>
  <c r="N27" i="3"/>
  <c r="O27" i="3" s="1"/>
  <c r="P27" i="3" s="1"/>
  <c r="Q27" i="3" s="1"/>
  <c r="R27" i="3" s="1"/>
  <c r="O17" i="3"/>
  <c r="P17" i="3"/>
  <c r="Q17" i="3"/>
  <c r="R17" i="3"/>
  <c r="N17" i="3"/>
  <c r="O20" i="5"/>
  <c r="P20" i="5"/>
  <c r="Q20" i="5"/>
  <c r="R20" i="5"/>
  <c r="O21" i="5"/>
  <c r="O12" i="3" s="1"/>
  <c r="P21" i="5"/>
  <c r="P12" i="3" s="1"/>
  <c r="Q21" i="5"/>
  <c r="Q12" i="3" s="1"/>
  <c r="R21" i="5"/>
  <c r="R12" i="3" s="1"/>
  <c r="N21" i="5"/>
  <c r="N12" i="3" s="1"/>
  <c r="N20" i="5"/>
  <c r="N22" i="5" s="1"/>
  <c r="O19" i="5" s="1"/>
  <c r="O22" i="5" s="1"/>
  <c r="P19" i="5" s="1"/>
  <c r="P22" i="5" s="1"/>
  <c r="Q19" i="5" s="1"/>
  <c r="Q22" i="5" s="1"/>
  <c r="R19" i="5" s="1"/>
  <c r="R22" i="5" s="1"/>
  <c r="O14" i="5"/>
  <c r="P14" i="5"/>
  <c r="Q14" i="5"/>
  <c r="R14" i="5"/>
  <c r="N15" i="5"/>
  <c r="N13" i="3" s="1"/>
  <c r="N14" i="5"/>
  <c r="N16" i="5" s="1"/>
  <c r="O13" i="5" s="1"/>
  <c r="O10" i="3"/>
  <c r="O11" i="3" s="1"/>
  <c r="P10" i="3"/>
  <c r="P11" i="3" s="1"/>
  <c r="Q10" i="3"/>
  <c r="Q11" i="3" s="1"/>
  <c r="R10" i="3"/>
  <c r="R11" i="3" s="1"/>
  <c r="N10" i="3"/>
  <c r="N11" i="3" s="1"/>
  <c r="O9" i="3"/>
  <c r="P9" i="3"/>
  <c r="Q9" i="3"/>
  <c r="R9" i="3"/>
  <c r="N9" i="3"/>
  <c r="O31" i="6" l="1"/>
  <c r="G24" i="7"/>
  <c r="G26" i="7" s="1"/>
  <c r="G30" i="7"/>
  <c r="G31" i="7" s="1"/>
  <c r="G33" i="7"/>
  <c r="G35" i="7" s="1"/>
  <c r="P32" i="6" s="1"/>
  <c r="H24" i="8" s="1"/>
  <c r="O32" i="6"/>
  <c r="F39" i="7"/>
  <c r="F40" i="7" s="1"/>
  <c r="E39" i="7"/>
  <c r="H16" i="7"/>
  <c r="N31" i="6"/>
  <c r="G16" i="7"/>
  <c r="F30" i="7"/>
  <c r="F31" i="7" s="1"/>
  <c r="F48" i="7"/>
  <c r="F49" i="7" s="1"/>
  <c r="F42" i="7"/>
  <c r="F44" i="7" s="1"/>
  <c r="N32" i="6"/>
  <c r="F24" i="8" s="1"/>
  <c r="F16" i="7"/>
  <c r="N33" i="6"/>
  <c r="G31" i="14"/>
  <c r="G33" i="14" s="1"/>
  <c r="H30" i="14"/>
  <c r="E30" i="7"/>
  <c r="E31" i="7" s="1"/>
  <c r="H14" i="14"/>
  <c r="G15" i="14"/>
  <c r="G17" i="14" s="1"/>
  <c r="G19" i="14" s="1"/>
  <c r="I17" i="8"/>
  <c r="H17" i="8"/>
  <c r="G17" i="8"/>
  <c r="G9" i="14"/>
  <c r="F10" i="14"/>
  <c r="G34" i="14"/>
  <c r="F35" i="14"/>
  <c r="O56" i="5"/>
  <c r="Q55" i="5"/>
  <c r="R56" i="5"/>
  <c r="Q56" i="5"/>
  <c r="P56" i="5"/>
  <c r="N47" i="5"/>
  <c r="N54" i="5" s="1"/>
  <c r="N56" i="5" s="1"/>
  <c r="N52" i="5"/>
  <c r="N55" i="5" s="1"/>
  <c r="F26" i="8"/>
  <c r="K47" i="5"/>
  <c r="K54" i="5" s="1"/>
  <c r="E47" i="5"/>
  <c r="E54" i="5" s="1"/>
  <c r="I52" i="5"/>
  <c r="H52" i="5"/>
  <c r="H55" i="5" s="1"/>
  <c r="M52" i="5"/>
  <c r="F17" i="8"/>
  <c r="F25" i="8"/>
  <c r="J47" i="5"/>
  <c r="D47" i="5"/>
  <c r="D54" i="5" s="1"/>
  <c r="G52" i="5"/>
  <c r="L52" i="5"/>
  <c r="L55" i="5" s="1"/>
  <c r="F52" i="5"/>
  <c r="F55" i="5" s="1"/>
  <c r="I47" i="5"/>
  <c r="I54" i="5" s="1"/>
  <c r="C47" i="5"/>
  <c r="E52" i="5"/>
  <c r="F29" i="8"/>
  <c r="E62" i="7"/>
  <c r="H47" i="5"/>
  <c r="M47" i="5"/>
  <c r="M54" i="5" s="1"/>
  <c r="G47" i="5"/>
  <c r="G54" i="5" s="1"/>
  <c r="J52" i="5"/>
  <c r="J55" i="5" s="1"/>
  <c r="D52" i="5"/>
  <c r="D55" i="5" s="1"/>
  <c r="F23" i="8"/>
  <c r="D53" i="7"/>
  <c r="D54" i="7" s="1"/>
  <c r="E15" i="7"/>
  <c r="E17" i="7" s="1"/>
  <c r="E40" i="7"/>
  <c r="E49" i="7"/>
  <c r="O10" i="6"/>
  <c r="N14" i="3"/>
  <c r="O15" i="5"/>
  <c r="O13" i="3" s="1"/>
  <c r="O14" i="3" s="1"/>
  <c r="O16" i="5"/>
  <c r="P13" i="5" s="1"/>
  <c r="G24" i="8" l="1"/>
  <c r="N30" i="6"/>
  <c r="F22" i="8" s="1"/>
  <c r="F21" i="7"/>
  <c r="F22" i="7" s="1"/>
  <c r="F58" i="7" s="1"/>
  <c r="F15" i="7"/>
  <c r="F17" i="7" s="1"/>
  <c r="H15" i="14"/>
  <c r="H17" i="14" s="1"/>
  <c r="H19" i="14" s="1"/>
  <c r="I14" i="14"/>
  <c r="G39" i="7"/>
  <c r="G40" i="7" s="1"/>
  <c r="G42" i="7"/>
  <c r="G44" i="7" s="1"/>
  <c r="O33" i="6"/>
  <c r="G25" i="8" s="1"/>
  <c r="H24" i="7"/>
  <c r="H26" i="7" s="1"/>
  <c r="P31" i="6"/>
  <c r="H23" i="8" s="1"/>
  <c r="H33" i="7"/>
  <c r="H31" i="14"/>
  <c r="H33" i="14" s="1"/>
  <c r="I30" i="14"/>
  <c r="G23" i="8"/>
  <c r="H34" i="14"/>
  <c r="G35" i="14"/>
  <c r="H9" i="14"/>
  <c r="G10" i="14"/>
  <c r="H34" i="7"/>
  <c r="H35" i="7"/>
  <c r="Q32" i="6" s="1"/>
  <c r="I24" i="8" s="1"/>
  <c r="G56" i="5"/>
  <c r="E55" i="5"/>
  <c r="E56" i="5" s="1"/>
  <c r="K55" i="5"/>
  <c r="K56" i="5" s="1"/>
  <c r="G55" i="5"/>
  <c r="M55" i="5"/>
  <c r="M56" i="5" s="1"/>
  <c r="F54" i="5"/>
  <c r="F56" i="5" s="1"/>
  <c r="D56" i="5"/>
  <c r="L54" i="5"/>
  <c r="L56" i="5" s="1"/>
  <c r="H54" i="5"/>
  <c r="H56" i="5" s="1"/>
  <c r="J54" i="5"/>
  <c r="J56" i="5" s="1"/>
  <c r="I55" i="5"/>
  <c r="I56" i="5" s="1"/>
  <c r="E21" i="7"/>
  <c r="E22" i="7" s="1"/>
  <c r="E58" i="7" s="1"/>
  <c r="E53" i="7"/>
  <c r="P10" i="6"/>
  <c r="P15" i="5"/>
  <c r="P13" i="3" s="1"/>
  <c r="P14" i="3" s="1"/>
  <c r="P16" i="5"/>
  <c r="Q13" i="5" s="1"/>
  <c r="Q31" i="6" l="1"/>
  <c r="I23" i="8" s="1"/>
  <c r="I24" i="7"/>
  <c r="I26" i="7" s="1"/>
  <c r="H30" i="7"/>
  <c r="H31" i="7" s="1"/>
  <c r="G15" i="7"/>
  <c r="G17" i="7" s="1"/>
  <c r="F53" i="7"/>
  <c r="O30" i="6"/>
  <c r="G22" i="8" s="1"/>
  <c r="I31" i="14"/>
  <c r="I33" i="14" s="1"/>
  <c r="J30" i="14"/>
  <c r="P33" i="6"/>
  <c r="H25" i="8" s="1"/>
  <c r="G48" i="7"/>
  <c r="G49" i="7" s="1"/>
  <c r="H42" i="7"/>
  <c r="H44" i="7" s="1"/>
  <c r="J14" i="14"/>
  <c r="I15" i="14"/>
  <c r="I17" i="14" s="1"/>
  <c r="I19" i="14" s="1"/>
  <c r="I9" i="14"/>
  <c r="I10" i="14" s="1"/>
  <c r="H10" i="14"/>
  <c r="I34" i="14"/>
  <c r="H35" i="14"/>
  <c r="I33" i="7"/>
  <c r="I35" i="7" s="1"/>
  <c r="H39" i="7"/>
  <c r="H40" i="7" s="1"/>
  <c r="Q10" i="6"/>
  <c r="Q15" i="5"/>
  <c r="Q13" i="3" s="1"/>
  <c r="Q14" i="3" s="1"/>
  <c r="Q16" i="5"/>
  <c r="R13" i="5" s="1"/>
  <c r="P30" i="6" l="1"/>
  <c r="H22" i="8" s="1"/>
  <c r="G53" i="7"/>
  <c r="H15" i="7"/>
  <c r="H17" i="7" s="1"/>
  <c r="H21" i="7" s="1"/>
  <c r="H22" i="7" s="1"/>
  <c r="H58" i="7" s="1"/>
  <c r="Q33" i="6"/>
  <c r="I25" i="8" s="1"/>
  <c r="H48" i="7"/>
  <c r="H49" i="7" s="1"/>
  <c r="I42" i="7"/>
  <c r="I44" i="7" s="1"/>
  <c r="I30" i="7"/>
  <c r="I31" i="7" s="1"/>
  <c r="R31" i="6"/>
  <c r="J23" i="8" s="1"/>
  <c r="K30" i="14"/>
  <c r="J31" i="14"/>
  <c r="J33" i="14" s="1"/>
  <c r="I39" i="7"/>
  <c r="I40" i="7" s="1"/>
  <c r="R32" i="6"/>
  <c r="J24" i="8" s="1"/>
  <c r="K14" i="14"/>
  <c r="J15" i="14"/>
  <c r="J17" i="14" s="1"/>
  <c r="J19" i="14" s="1"/>
  <c r="G21" i="7"/>
  <c r="G22" i="7" s="1"/>
  <c r="G58" i="7" s="1"/>
  <c r="J34" i="14"/>
  <c r="I35" i="14"/>
  <c r="R10" i="6"/>
  <c r="R15" i="5"/>
  <c r="R13" i="3" s="1"/>
  <c r="R14" i="3" s="1"/>
  <c r="R16" i="5"/>
  <c r="L30" i="14" l="1"/>
  <c r="K31" i="14"/>
  <c r="K33" i="14" s="1"/>
  <c r="Q30" i="6"/>
  <c r="I22" i="8" s="1"/>
  <c r="H53" i="7"/>
  <c r="I15" i="7"/>
  <c r="I17" i="7" s="1"/>
  <c r="I21" i="7"/>
  <c r="I22" i="7" s="1"/>
  <c r="I58" i="7" s="1"/>
  <c r="K15" i="14"/>
  <c r="K17" i="14" s="1"/>
  <c r="K19" i="14" s="1"/>
  <c r="L14" i="14"/>
  <c r="L15" i="14" s="1"/>
  <c r="L17" i="14" s="1"/>
  <c r="L19" i="14" s="1"/>
  <c r="I48" i="7"/>
  <c r="I49" i="7" s="1"/>
  <c r="R33" i="6"/>
  <c r="J25" i="8" s="1"/>
  <c r="K34" i="14"/>
  <c r="J35" i="14"/>
  <c r="N8" i="3"/>
  <c r="O8" i="3"/>
  <c r="P8" i="3"/>
  <c r="Q8" i="3"/>
  <c r="R8" i="3"/>
  <c r="O7" i="3"/>
  <c r="P7" i="3"/>
  <c r="Q7" i="3"/>
  <c r="R7" i="3"/>
  <c r="N7" i="3"/>
  <c r="O6" i="3"/>
  <c r="P6" i="3" s="1"/>
  <c r="Q6" i="3" s="1"/>
  <c r="R6" i="3" s="1"/>
  <c r="N6" i="3"/>
  <c r="N19" i="5"/>
  <c r="N13" i="5"/>
  <c r="K5" i="5"/>
  <c r="T51" i="4"/>
  <c r="T50" i="4"/>
  <c r="U50" i="4" s="1"/>
  <c r="V50" i="4" s="1"/>
  <c r="W50" i="4" s="1"/>
  <c r="X50" i="4" s="1"/>
  <c r="T49" i="4"/>
  <c r="U49" i="4" s="1"/>
  <c r="V49" i="4" s="1"/>
  <c r="W49" i="4" s="1"/>
  <c r="X49" i="4" s="1"/>
  <c r="T48" i="4"/>
  <c r="U48" i="4" s="1"/>
  <c r="V48" i="4" s="1"/>
  <c r="W48" i="4" s="1"/>
  <c r="X48" i="4" s="1"/>
  <c r="T45" i="4"/>
  <c r="U45" i="4" s="1"/>
  <c r="V45" i="4" s="1"/>
  <c r="W45" i="4" s="1"/>
  <c r="X45" i="4" s="1"/>
  <c r="U44" i="4"/>
  <c r="V44" i="4" s="1"/>
  <c r="W44" i="4" s="1"/>
  <c r="X44" i="4" s="1"/>
  <c r="T44" i="4"/>
  <c r="T43" i="4"/>
  <c r="U43" i="4" s="1"/>
  <c r="V43" i="4" s="1"/>
  <c r="W43" i="4" s="1"/>
  <c r="X43" i="4" s="1"/>
  <c r="U40" i="4"/>
  <c r="V40" i="4" s="1"/>
  <c r="W40" i="4" s="1"/>
  <c r="X40" i="4" s="1"/>
  <c r="T40" i="4"/>
  <c r="T39" i="4"/>
  <c r="U39" i="4" s="1"/>
  <c r="V39" i="4" s="1"/>
  <c r="W39" i="4" s="1"/>
  <c r="X39" i="4" s="1"/>
  <c r="T38" i="4"/>
  <c r="U38" i="4" s="1"/>
  <c r="V38" i="4" s="1"/>
  <c r="W38" i="4" s="1"/>
  <c r="X38" i="4" s="1"/>
  <c r="T37" i="4"/>
  <c r="U37" i="4" s="1"/>
  <c r="V37" i="4" s="1"/>
  <c r="W37" i="4" s="1"/>
  <c r="X37" i="4" s="1"/>
  <c r="T34" i="4"/>
  <c r="U34" i="4" s="1"/>
  <c r="V34" i="4" s="1"/>
  <c r="W34" i="4" s="1"/>
  <c r="X34" i="4" s="1"/>
  <c r="T31" i="4"/>
  <c r="U31" i="4"/>
  <c r="V31" i="4" s="1"/>
  <c r="W31" i="4" s="1"/>
  <c r="X31" i="4" s="1"/>
  <c r="T32" i="4"/>
  <c r="U32" i="4"/>
  <c r="V32" i="4"/>
  <c r="W32" i="4" s="1"/>
  <c r="X32" i="4" s="1"/>
  <c r="T33" i="4"/>
  <c r="U33" i="4"/>
  <c r="V33" i="4"/>
  <c r="W33" i="4"/>
  <c r="X33" i="4" s="1"/>
  <c r="U30" i="4"/>
  <c r="V30" i="4" s="1"/>
  <c r="W30" i="4" s="1"/>
  <c r="X30" i="4" s="1"/>
  <c r="T30" i="4"/>
  <c r="T29" i="4"/>
  <c r="U29" i="4" s="1"/>
  <c r="V29" i="4" s="1"/>
  <c r="W29" i="4" s="1"/>
  <c r="X29" i="4" s="1"/>
  <c r="T28" i="4"/>
  <c r="U28" i="4" s="1"/>
  <c r="V28" i="4" s="1"/>
  <c r="W28" i="4" s="1"/>
  <c r="X28" i="4" s="1"/>
  <c r="T25" i="4"/>
  <c r="U25" i="4" s="1"/>
  <c r="V25" i="4" s="1"/>
  <c r="W25" i="4" s="1"/>
  <c r="X25" i="4" s="1"/>
  <c r="U24" i="4"/>
  <c r="V24" i="4" s="1"/>
  <c r="W24" i="4" s="1"/>
  <c r="X24" i="4" s="1"/>
  <c r="T24" i="4"/>
  <c r="T23" i="4"/>
  <c r="U23" i="4" s="1"/>
  <c r="V23" i="4" s="1"/>
  <c r="W23" i="4" s="1"/>
  <c r="X23" i="4" s="1"/>
  <c r="T22" i="4"/>
  <c r="U22" i="4" s="1"/>
  <c r="V22" i="4" s="1"/>
  <c r="W22" i="4" s="1"/>
  <c r="X22" i="4" s="1"/>
  <c r="U19" i="4"/>
  <c r="V19" i="4" s="1"/>
  <c r="W19" i="4" s="1"/>
  <c r="X19" i="4" s="1"/>
  <c r="T19" i="4"/>
  <c r="T6" i="4"/>
  <c r="U6" i="4"/>
  <c r="V6" i="4"/>
  <c r="W6" i="4"/>
  <c r="X6" i="4" s="1"/>
  <c r="T7" i="4"/>
  <c r="U7" i="4"/>
  <c r="V7" i="4"/>
  <c r="W7" i="4"/>
  <c r="X7" i="4"/>
  <c r="T8" i="4"/>
  <c r="U8" i="4"/>
  <c r="V8" i="4"/>
  <c r="W8" i="4"/>
  <c r="X8" i="4"/>
  <c r="T9" i="4"/>
  <c r="U9" i="4" s="1"/>
  <c r="V9" i="4" s="1"/>
  <c r="W9" i="4" s="1"/>
  <c r="X9" i="4" s="1"/>
  <c r="T10" i="4"/>
  <c r="U10" i="4"/>
  <c r="V10" i="4" s="1"/>
  <c r="W10" i="4" s="1"/>
  <c r="X10" i="4" s="1"/>
  <c r="T11" i="4"/>
  <c r="U11" i="4"/>
  <c r="V11" i="4"/>
  <c r="W11" i="4" s="1"/>
  <c r="X11" i="4" s="1"/>
  <c r="T5" i="4"/>
  <c r="U5" i="4" s="1"/>
  <c r="V5" i="4" s="1"/>
  <c r="W5" i="4" s="1"/>
  <c r="X5" i="4" s="1"/>
  <c r="G6" i="6"/>
  <c r="F6" i="6"/>
  <c r="F12" i="6" s="1"/>
  <c r="F19" i="6" s="1"/>
  <c r="E6" i="6"/>
  <c r="E12" i="6" s="1"/>
  <c r="E19" i="6" s="1"/>
  <c r="D6" i="6"/>
  <c r="D12" i="6" s="1"/>
  <c r="D19" i="6" s="1"/>
  <c r="C6" i="6"/>
  <c r="C12" i="6" s="1"/>
  <c r="C19" i="6" s="1"/>
  <c r="M45" i="6"/>
  <c r="L45" i="6"/>
  <c r="K45" i="6"/>
  <c r="J45" i="6"/>
  <c r="I45" i="6"/>
  <c r="H45" i="6"/>
  <c r="G45" i="6"/>
  <c r="F45" i="6"/>
  <c r="E45" i="6"/>
  <c r="D45" i="6"/>
  <c r="C45" i="6"/>
  <c r="J31" i="6"/>
  <c r="M29" i="6"/>
  <c r="M37" i="6" s="1"/>
  <c r="M47" i="6" s="1"/>
  <c r="L29" i="6"/>
  <c r="L37" i="6" s="1"/>
  <c r="L47" i="6" s="1"/>
  <c r="J29" i="6"/>
  <c r="I29" i="6"/>
  <c r="I37" i="6" s="1"/>
  <c r="H29" i="6"/>
  <c r="H37" i="6" s="1"/>
  <c r="G29" i="6"/>
  <c r="G37" i="6" s="1"/>
  <c r="F29" i="6"/>
  <c r="F37" i="6" s="1"/>
  <c r="F47" i="6" s="1"/>
  <c r="E29" i="6"/>
  <c r="E37" i="6" s="1"/>
  <c r="D29" i="6"/>
  <c r="D37" i="6" s="1"/>
  <c r="C29" i="6"/>
  <c r="C37" i="6" s="1"/>
  <c r="K29" i="6"/>
  <c r="K37" i="6" s="1"/>
  <c r="K47" i="6" s="1"/>
  <c r="M12" i="6"/>
  <c r="M19" i="6" s="1"/>
  <c r="L12" i="6"/>
  <c r="L19" i="6" s="1"/>
  <c r="K12" i="6"/>
  <c r="K19" i="6" s="1"/>
  <c r="J12" i="6"/>
  <c r="J19" i="6" s="1"/>
  <c r="I12" i="6"/>
  <c r="I19" i="6" s="1"/>
  <c r="H12" i="6"/>
  <c r="H19" i="6" s="1"/>
  <c r="G12" i="6"/>
  <c r="G19" i="6" s="1"/>
  <c r="O19" i="4"/>
  <c r="N19" i="4"/>
  <c r="M19" i="4"/>
  <c r="C19" i="4"/>
  <c r="D19" i="4"/>
  <c r="E19" i="4"/>
  <c r="F19" i="4"/>
  <c r="G19" i="4"/>
  <c r="H19" i="4"/>
  <c r="I19" i="4"/>
  <c r="J19" i="4"/>
  <c r="K19" i="4"/>
  <c r="B19" i="4"/>
  <c r="B44" i="4"/>
  <c r="C44" i="4"/>
  <c r="D44" i="4"/>
  <c r="E44" i="4"/>
  <c r="F44" i="4"/>
  <c r="G44" i="4"/>
  <c r="H44" i="4"/>
  <c r="I44" i="4"/>
  <c r="J44" i="4"/>
  <c r="K44" i="4"/>
  <c r="Q44" i="4" s="1"/>
  <c r="M44" i="4"/>
  <c r="N44" i="4"/>
  <c r="O44" i="4"/>
  <c r="O43" i="4"/>
  <c r="N43" i="4"/>
  <c r="M43" i="4"/>
  <c r="B43" i="4"/>
  <c r="C43" i="4"/>
  <c r="D43" i="4"/>
  <c r="E43" i="4"/>
  <c r="F43" i="4"/>
  <c r="G43" i="4"/>
  <c r="H43" i="4"/>
  <c r="I43" i="4"/>
  <c r="J43" i="4"/>
  <c r="K43" i="4"/>
  <c r="Q43" i="4" s="1"/>
  <c r="M33" i="4"/>
  <c r="N33" i="4"/>
  <c r="O33" i="4"/>
  <c r="B33" i="4"/>
  <c r="C33" i="4"/>
  <c r="D33" i="4"/>
  <c r="E33" i="4"/>
  <c r="F33" i="4"/>
  <c r="G33" i="4"/>
  <c r="H33" i="4"/>
  <c r="I33" i="4"/>
  <c r="J33" i="4"/>
  <c r="K33" i="4"/>
  <c r="Q33" i="4" s="1"/>
  <c r="M32" i="4"/>
  <c r="N32" i="4"/>
  <c r="O32" i="4"/>
  <c r="B32" i="4"/>
  <c r="C32" i="4"/>
  <c r="D32" i="4"/>
  <c r="E32" i="4"/>
  <c r="F32" i="4"/>
  <c r="G32" i="4"/>
  <c r="H32" i="4"/>
  <c r="I32" i="4"/>
  <c r="J32" i="4"/>
  <c r="K32" i="4"/>
  <c r="Q32" i="4" s="1"/>
  <c r="M31" i="4"/>
  <c r="N31" i="4"/>
  <c r="O31" i="4"/>
  <c r="C31" i="4"/>
  <c r="D31" i="4"/>
  <c r="E31" i="4"/>
  <c r="F31" i="4"/>
  <c r="G31" i="4"/>
  <c r="H31" i="4"/>
  <c r="I31" i="4"/>
  <c r="J31" i="4"/>
  <c r="K31" i="4"/>
  <c r="B31" i="4"/>
  <c r="E13" i="5"/>
  <c r="G13" i="5"/>
  <c r="H13" i="5"/>
  <c r="M13" i="5"/>
  <c r="E15" i="5"/>
  <c r="F15" i="5"/>
  <c r="G15" i="5"/>
  <c r="H15" i="5"/>
  <c r="I15" i="5"/>
  <c r="J15" i="5"/>
  <c r="K15" i="5"/>
  <c r="L15" i="5"/>
  <c r="M15" i="5"/>
  <c r="E16" i="5"/>
  <c r="F13" i="5" s="1"/>
  <c r="F16" i="5"/>
  <c r="F14" i="5" s="1"/>
  <c r="G16" i="5"/>
  <c r="G14" i="5" s="1"/>
  <c r="H16" i="5"/>
  <c r="I13" i="5" s="1"/>
  <c r="I16" i="5"/>
  <c r="J13" i="5" s="1"/>
  <c r="J16" i="5"/>
  <c r="K13" i="5" s="1"/>
  <c r="K16" i="5"/>
  <c r="L13" i="5" s="1"/>
  <c r="L16" i="5"/>
  <c r="L14" i="5" s="1"/>
  <c r="M16" i="5"/>
  <c r="M14" i="5" s="1"/>
  <c r="D14" i="5"/>
  <c r="D16" i="5"/>
  <c r="D15" i="5"/>
  <c r="C16" i="5"/>
  <c r="D13" i="5" s="1"/>
  <c r="N30" i="4"/>
  <c r="O30" i="4"/>
  <c r="M30" i="4"/>
  <c r="C30" i="4"/>
  <c r="D30" i="4"/>
  <c r="E30" i="4"/>
  <c r="F30" i="4"/>
  <c r="G30" i="4"/>
  <c r="H30" i="4"/>
  <c r="I30" i="4"/>
  <c r="J30" i="4"/>
  <c r="K30" i="4"/>
  <c r="Q30" i="4" s="1"/>
  <c r="B30" i="4"/>
  <c r="C28" i="4"/>
  <c r="D28" i="4"/>
  <c r="E28" i="4"/>
  <c r="F28" i="4"/>
  <c r="G28" i="4"/>
  <c r="H28" i="4"/>
  <c r="I28" i="4"/>
  <c r="J28" i="4"/>
  <c r="K28" i="4"/>
  <c r="B28" i="4"/>
  <c r="R30" i="6" l="1"/>
  <c r="J22" i="8" s="1"/>
  <c r="I53" i="7"/>
  <c r="M30" i="14"/>
  <c r="L31" i="14"/>
  <c r="L33" i="14" s="1"/>
  <c r="L34" i="14"/>
  <c r="K35" i="14"/>
  <c r="K48" i="6"/>
  <c r="J48" i="6"/>
  <c r="F48" i="6"/>
  <c r="G47" i="6"/>
  <c r="G48" i="6" s="1"/>
  <c r="H47" i="6"/>
  <c r="D48" i="6"/>
  <c r="C47" i="6"/>
  <c r="I47" i="6"/>
  <c r="E48" i="6"/>
  <c r="I48" i="6"/>
  <c r="D47" i="6"/>
  <c r="J37" i="6"/>
  <c r="J47" i="6" s="1"/>
  <c r="E47" i="6"/>
  <c r="M48" i="6"/>
  <c r="H48" i="6"/>
  <c r="C48" i="6"/>
  <c r="L48" i="6"/>
  <c r="N28" i="4"/>
  <c r="M28" i="4"/>
  <c r="K14" i="5"/>
  <c r="E14" i="5"/>
  <c r="J14" i="5"/>
  <c r="I14" i="5"/>
  <c r="H14" i="5"/>
  <c r="O28" i="4"/>
  <c r="J12" i="3"/>
  <c r="J25" i="5"/>
  <c r="J26" i="5" s="1"/>
  <c r="H29" i="4" s="1"/>
  <c r="I25" i="5"/>
  <c r="I26" i="5" s="1"/>
  <c r="H25" i="5"/>
  <c r="H26" i="5" s="1"/>
  <c r="G25" i="5"/>
  <c r="G26" i="5" s="1"/>
  <c r="F25" i="5"/>
  <c r="F26" i="5" s="1"/>
  <c r="E25" i="5"/>
  <c r="E26" i="5" s="1"/>
  <c r="D25" i="5"/>
  <c r="D26" i="5" s="1"/>
  <c r="B29" i="4" s="1"/>
  <c r="C25" i="5"/>
  <c r="C26" i="5" s="1"/>
  <c r="C12" i="3" s="1"/>
  <c r="J22" i="5"/>
  <c r="K19" i="5" s="1"/>
  <c r="I22" i="5"/>
  <c r="J19" i="5" s="1"/>
  <c r="H22" i="5"/>
  <c r="I19" i="5" s="1"/>
  <c r="G22" i="5"/>
  <c r="H19" i="5" s="1"/>
  <c r="F22" i="5"/>
  <c r="G19" i="5" s="1"/>
  <c r="E22" i="5"/>
  <c r="F19" i="5" s="1"/>
  <c r="D22" i="5"/>
  <c r="C22" i="5"/>
  <c r="D19" i="5" s="1"/>
  <c r="E19" i="5"/>
  <c r="J10" i="5"/>
  <c r="I10" i="5"/>
  <c r="H10" i="5"/>
  <c r="G10" i="5"/>
  <c r="F10" i="5"/>
  <c r="E10" i="5"/>
  <c r="D10" i="5"/>
  <c r="C9" i="5"/>
  <c r="D5" i="5" s="1"/>
  <c r="K32" i="5"/>
  <c r="I32" i="5"/>
  <c r="L30" i="5"/>
  <c r="L33" i="5" s="1"/>
  <c r="K30" i="5"/>
  <c r="K33" i="5" s="1"/>
  <c r="J30" i="5"/>
  <c r="J33" i="5" s="1"/>
  <c r="I30" i="5"/>
  <c r="I33" i="5" s="1"/>
  <c r="H30" i="5"/>
  <c r="H32" i="5" s="1"/>
  <c r="G30" i="5"/>
  <c r="G33" i="5" s="1"/>
  <c r="F30" i="5"/>
  <c r="F33" i="5" s="1"/>
  <c r="E30" i="5"/>
  <c r="E33" i="5" s="1"/>
  <c r="D30" i="5"/>
  <c r="D33" i="5" s="1"/>
  <c r="C30" i="5"/>
  <c r="C33" i="5" s="1"/>
  <c r="M30" i="5"/>
  <c r="M33" i="5" s="1"/>
  <c r="L19" i="5"/>
  <c r="K22" i="5"/>
  <c r="L22" i="5"/>
  <c r="M19" i="5" s="1"/>
  <c r="M22" i="5"/>
  <c r="K25" i="5"/>
  <c r="K26" i="5" s="1"/>
  <c r="L25" i="5"/>
  <c r="L26" i="5" s="1"/>
  <c r="M25" i="5"/>
  <c r="M26" i="5" s="1"/>
  <c r="K10" i="5"/>
  <c r="L10" i="5"/>
  <c r="M10" i="5"/>
  <c r="N30" i="14" l="1"/>
  <c r="M31" i="14"/>
  <c r="M33" i="14" s="1"/>
  <c r="M34" i="14"/>
  <c r="L35" i="14"/>
  <c r="H12" i="3"/>
  <c r="F29" i="4"/>
  <c r="I12" i="3"/>
  <c r="G29" i="4"/>
  <c r="L21" i="5"/>
  <c r="J29" i="4"/>
  <c r="F32" i="5"/>
  <c r="M21" i="5"/>
  <c r="K29" i="4"/>
  <c r="K21" i="5"/>
  <c r="I29" i="4"/>
  <c r="E12" i="3"/>
  <c r="C29" i="4"/>
  <c r="J32" i="5"/>
  <c r="J35" i="5" s="1"/>
  <c r="F12" i="3"/>
  <c r="D29" i="4"/>
  <c r="D12" i="3"/>
  <c r="G12" i="3"/>
  <c r="E29" i="4"/>
  <c r="L32" i="5"/>
  <c r="M12" i="3"/>
  <c r="L12" i="3"/>
  <c r="K12" i="3"/>
  <c r="K36" i="5"/>
  <c r="K40" i="5" s="1"/>
  <c r="K9" i="3" s="1"/>
  <c r="C36" i="5"/>
  <c r="C40" i="5" s="1"/>
  <c r="C9" i="3" s="1"/>
  <c r="D21" i="5"/>
  <c r="D36" i="5"/>
  <c r="D40" i="5" s="1"/>
  <c r="D9" i="3" s="1"/>
  <c r="E21" i="5"/>
  <c r="E36" i="5"/>
  <c r="E40" i="5" s="1"/>
  <c r="E9" i="3" s="1"/>
  <c r="F36" i="5"/>
  <c r="F40" i="5" s="1"/>
  <c r="F9" i="3" s="1"/>
  <c r="F35" i="5"/>
  <c r="F21" i="5"/>
  <c r="G36" i="5"/>
  <c r="G40" i="5" s="1"/>
  <c r="G9" i="3" s="1"/>
  <c r="G21" i="5"/>
  <c r="H21" i="5"/>
  <c r="H35" i="5"/>
  <c r="I35" i="5"/>
  <c r="I36" i="5"/>
  <c r="I40" i="5" s="1"/>
  <c r="I9" i="3" s="1"/>
  <c r="I21" i="5"/>
  <c r="J36" i="5"/>
  <c r="J40" i="5" s="1"/>
  <c r="J9" i="3" s="1"/>
  <c r="J21" i="5"/>
  <c r="K35" i="5"/>
  <c r="M36" i="5"/>
  <c r="M40" i="5" s="1"/>
  <c r="M9" i="3" s="1"/>
  <c r="L36" i="5"/>
  <c r="L40" i="5" s="1"/>
  <c r="L9" i="3" s="1"/>
  <c r="M32" i="5"/>
  <c r="M35" i="5" s="1"/>
  <c r="C32" i="5"/>
  <c r="C35" i="5" s="1"/>
  <c r="D32" i="5"/>
  <c r="D35" i="5" s="1"/>
  <c r="L35" i="5"/>
  <c r="E32" i="5"/>
  <c r="E35" i="5" s="1"/>
  <c r="H33" i="5"/>
  <c r="H36" i="5" s="1"/>
  <c r="H40" i="5" s="1"/>
  <c r="H9" i="3" s="1"/>
  <c r="G32" i="5"/>
  <c r="G35" i="5" s="1"/>
  <c r="N31" i="14" l="1"/>
  <c r="N33" i="14" s="1"/>
  <c r="O30" i="14"/>
  <c r="O31" i="14" s="1"/>
  <c r="O33" i="14" s="1"/>
  <c r="N34" i="14"/>
  <c r="M35" i="14"/>
  <c r="M29" i="4"/>
  <c r="O29" i="4"/>
  <c r="N29" i="4"/>
  <c r="K39" i="5"/>
  <c r="K7" i="3" s="1"/>
  <c r="I24" i="4" s="1"/>
  <c r="K37" i="5"/>
  <c r="J37" i="5"/>
  <c r="J39" i="5"/>
  <c r="J7" i="3" s="1"/>
  <c r="E39" i="5"/>
  <c r="E7" i="3" s="1"/>
  <c r="C24" i="4" s="1"/>
  <c r="E37" i="5"/>
  <c r="I39" i="5"/>
  <c r="I7" i="3" s="1"/>
  <c r="G24" i="4" s="1"/>
  <c r="I37" i="5"/>
  <c r="H37" i="5"/>
  <c r="H39" i="5"/>
  <c r="H7" i="3" s="1"/>
  <c r="F37" i="4" s="1"/>
  <c r="G39" i="5"/>
  <c r="G7" i="3" s="1"/>
  <c r="E37" i="4" s="1"/>
  <c r="G37" i="5"/>
  <c r="F39" i="5"/>
  <c r="F7" i="3" s="1"/>
  <c r="D37" i="4" s="1"/>
  <c r="F37" i="5"/>
  <c r="D37" i="5"/>
  <c r="D39" i="5"/>
  <c r="D7" i="3" s="1"/>
  <c r="B24" i="4" s="1"/>
  <c r="C37" i="5"/>
  <c r="C39" i="5"/>
  <c r="C7" i="3" s="1"/>
  <c r="M39" i="5"/>
  <c r="M7" i="3" s="1"/>
  <c r="K24" i="4" s="1"/>
  <c r="M37" i="5"/>
  <c r="L37" i="5"/>
  <c r="L39" i="5"/>
  <c r="L7" i="3" s="1"/>
  <c r="J37" i="4" s="1"/>
  <c r="J51" i="4"/>
  <c r="I51" i="4"/>
  <c r="H51" i="4"/>
  <c r="G51" i="4"/>
  <c r="F51" i="4"/>
  <c r="E51" i="4"/>
  <c r="D51" i="4"/>
  <c r="C51" i="4"/>
  <c r="B51" i="4"/>
  <c r="J50" i="4"/>
  <c r="I50" i="4"/>
  <c r="H50" i="4"/>
  <c r="G50" i="4"/>
  <c r="F50" i="4"/>
  <c r="E50" i="4"/>
  <c r="D50" i="4"/>
  <c r="C50" i="4"/>
  <c r="B50" i="4"/>
  <c r="J49" i="4"/>
  <c r="I49" i="4"/>
  <c r="H49" i="4"/>
  <c r="G49" i="4"/>
  <c r="F49" i="4"/>
  <c r="E49" i="4"/>
  <c r="D49" i="4"/>
  <c r="C49" i="4"/>
  <c r="B49" i="4"/>
  <c r="J48" i="4"/>
  <c r="I48" i="4"/>
  <c r="H48" i="4"/>
  <c r="G48" i="4"/>
  <c r="F48" i="4"/>
  <c r="E48" i="4"/>
  <c r="D48" i="4"/>
  <c r="C48" i="4"/>
  <c r="B48" i="4"/>
  <c r="J45" i="4"/>
  <c r="I45" i="4"/>
  <c r="H45" i="4"/>
  <c r="G45" i="4"/>
  <c r="F45" i="4"/>
  <c r="E45" i="4"/>
  <c r="D45" i="4"/>
  <c r="C45" i="4"/>
  <c r="B45" i="4"/>
  <c r="J40" i="4"/>
  <c r="I40" i="4"/>
  <c r="H40" i="4"/>
  <c r="G40" i="4"/>
  <c r="F40" i="4"/>
  <c r="E40" i="4"/>
  <c r="D40" i="4"/>
  <c r="C40" i="4"/>
  <c r="B40" i="4"/>
  <c r="J39" i="4"/>
  <c r="I39" i="4"/>
  <c r="H39" i="4"/>
  <c r="G39" i="4"/>
  <c r="F39" i="4"/>
  <c r="E39" i="4"/>
  <c r="D39" i="4"/>
  <c r="C39" i="4"/>
  <c r="B39" i="4"/>
  <c r="J38" i="4"/>
  <c r="I38" i="4"/>
  <c r="H38" i="4"/>
  <c r="G38" i="4"/>
  <c r="F38" i="4"/>
  <c r="E38" i="4"/>
  <c r="D38" i="4"/>
  <c r="C38" i="4"/>
  <c r="B38" i="4"/>
  <c r="H37" i="4"/>
  <c r="G37" i="4"/>
  <c r="B37" i="4"/>
  <c r="J34" i="4"/>
  <c r="I34" i="4"/>
  <c r="H34" i="4"/>
  <c r="G34" i="4"/>
  <c r="F34" i="4"/>
  <c r="E34" i="4"/>
  <c r="D34" i="4"/>
  <c r="C34" i="4"/>
  <c r="B34" i="4"/>
  <c r="J25" i="4"/>
  <c r="I25" i="4"/>
  <c r="H25" i="4"/>
  <c r="G25" i="4"/>
  <c r="F25" i="4"/>
  <c r="E25" i="4"/>
  <c r="D25" i="4"/>
  <c r="C25" i="4"/>
  <c r="B25" i="4"/>
  <c r="H24" i="4"/>
  <c r="F24" i="4"/>
  <c r="J23" i="4"/>
  <c r="I23" i="4"/>
  <c r="H23" i="4"/>
  <c r="G23" i="4"/>
  <c r="F23" i="4"/>
  <c r="E23" i="4"/>
  <c r="D23" i="4"/>
  <c r="C23" i="4"/>
  <c r="B23" i="4"/>
  <c r="J22" i="4"/>
  <c r="I22" i="4"/>
  <c r="H22" i="4"/>
  <c r="G22" i="4"/>
  <c r="F22" i="4"/>
  <c r="E22" i="4"/>
  <c r="D22" i="4"/>
  <c r="C22" i="4"/>
  <c r="B22" i="4"/>
  <c r="K51" i="4"/>
  <c r="K49" i="4"/>
  <c r="Q49" i="4" s="1"/>
  <c r="K39" i="4"/>
  <c r="K38" i="4"/>
  <c r="K25" i="4"/>
  <c r="K23" i="4"/>
  <c r="O34" i="14" l="1"/>
  <c r="O35" i="14" s="1"/>
  <c r="N35" i="14"/>
  <c r="O39" i="4"/>
  <c r="O38" i="4"/>
  <c r="I37" i="4"/>
  <c r="D24" i="4"/>
  <c r="C37" i="4"/>
  <c r="M25" i="4"/>
  <c r="N23" i="4"/>
  <c r="M23" i="4"/>
  <c r="N38" i="4"/>
  <c r="N25" i="4"/>
  <c r="M38" i="4"/>
  <c r="O25" i="4"/>
  <c r="E24" i="4"/>
  <c r="J24" i="4"/>
  <c r="O24" i="4" s="1"/>
  <c r="O23" i="4"/>
  <c r="M39" i="4"/>
  <c r="N39" i="4"/>
  <c r="K50" i="4"/>
  <c r="Q50" i="4" s="1"/>
  <c r="K48" i="4"/>
  <c r="Q48" i="4" s="1"/>
  <c r="K45" i="4"/>
  <c r="N45" i="4" s="1"/>
  <c r="K40" i="4"/>
  <c r="O40" i="4" s="1"/>
  <c r="K37" i="4"/>
  <c r="K34" i="4"/>
  <c r="K22" i="4"/>
  <c r="M22" i="4" s="1"/>
  <c r="N37" i="4" l="1"/>
  <c r="N24" i="4"/>
  <c r="O22" i="4"/>
  <c r="N22" i="4"/>
  <c r="M37" i="4"/>
  <c r="M24" i="4"/>
  <c r="O37" i="4"/>
  <c r="M40" i="4"/>
  <c r="N40" i="4"/>
  <c r="M45" i="4"/>
  <c r="M34" i="4"/>
  <c r="O34" i="4"/>
  <c r="N34" i="4"/>
  <c r="O45" i="4"/>
  <c r="J10" i="4"/>
  <c r="I10" i="4"/>
  <c r="H10" i="4"/>
  <c r="G10" i="4"/>
  <c r="F10" i="4"/>
  <c r="E10" i="4"/>
  <c r="D10" i="4"/>
  <c r="C10" i="4"/>
  <c r="B10" i="4"/>
  <c r="J9" i="4"/>
  <c r="I9" i="4"/>
  <c r="H9" i="4"/>
  <c r="G9" i="4"/>
  <c r="F9" i="4"/>
  <c r="E9" i="4"/>
  <c r="D9" i="4"/>
  <c r="C9" i="4"/>
  <c r="B9" i="4"/>
  <c r="J8" i="4"/>
  <c r="I8" i="4"/>
  <c r="H8" i="4"/>
  <c r="G8" i="4"/>
  <c r="F8" i="4"/>
  <c r="E8" i="4"/>
  <c r="D8" i="4"/>
  <c r="C8" i="4"/>
  <c r="B8" i="4"/>
  <c r="J7" i="4"/>
  <c r="I7" i="4"/>
  <c r="H7" i="4"/>
  <c r="G7" i="4"/>
  <c r="F7" i="4"/>
  <c r="E7" i="4"/>
  <c r="D7" i="4"/>
  <c r="C7" i="4"/>
  <c r="B7" i="4"/>
  <c r="J6" i="4"/>
  <c r="I6" i="4"/>
  <c r="H6" i="4"/>
  <c r="G6" i="4"/>
  <c r="F6" i="4"/>
  <c r="E6" i="4"/>
  <c r="D6" i="4"/>
  <c r="C6" i="4"/>
  <c r="B6" i="4"/>
  <c r="J5" i="4"/>
  <c r="I5" i="4"/>
  <c r="H5" i="4"/>
  <c r="G5" i="4"/>
  <c r="F5" i="4"/>
  <c r="E5" i="4"/>
  <c r="D5" i="4"/>
  <c r="C5" i="4"/>
  <c r="B5" i="4"/>
  <c r="K10" i="4"/>
  <c r="K9" i="4"/>
  <c r="K8" i="4"/>
  <c r="K6" i="4"/>
  <c r="K5" i="4"/>
  <c r="N8" i="4" l="1"/>
  <c r="M6" i="4"/>
  <c r="M9" i="4"/>
  <c r="O8" i="4"/>
  <c r="N6" i="4"/>
  <c r="O6" i="4"/>
  <c r="N9" i="4"/>
  <c r="O9" i="4"/>
  <c r="M5" i="4"/>
  <c r="M10" i="4"/>
  <c r="N5" i="4"/>
  <c r="M8" i="4"/>
  <c r="N10" i="4"/>
  <c r="O5" i="4"/>
  <c r="O10" i="4"/>
  <c r="K7" i="4"/>
  <c r="N7" i="4" s="1"/>
  <c r="M30" i="2"/>
  <c r="M29" i="2"/>
  <c r="M25" i="2"/>
  <c r="M28" i="2" s="1"/>
  <c r="M34" i="2" s="1"/>
  <c r="M44" i="2" s="1"/>
  <c r="M42" i="2"/>
  <c r="M12" i="2"/>
  <c r="M19" i="2" s="1"/>
  <c r="M8" i="3"/>
  <c r="K13" i="4" s="1"/>
  <c r="L8" i="3"/>
  <c r="J13" i="4" s="1"/>
  <c r="K8" i="3"/>
  <c r="I13" i="4" s="1"/>
  <c r="J8" i="3"/>
  <c r="H13" i="4" s="1"/>
  <c r="I8" i="3"/>
  <c r="G13" i="4" s="1"/>
  <c r="H8" i="3"/>
  <c r="F13" i="4" s="1"/>
  <c r="G8" i="3"/>
  <c r="E13" i="4" s="1"/>
  <c r="F8" i="3"/>
  <c r="E8" i="3"/>
  <c r="D8" i="3"/>
  <c r="C8" i="3"/>
  <c r="C11" i="3" s="1"/>
  <c r="C14" i="3" s="1"/>
  <c r="L42" i="2"/>
  <c r="K42" i="2"/>
  <c r="J42" i="2"/>
  <c r="I42" i="2"/>
  <c r="H42" i="2"/>
  <c r="G42" i="2"/>
  <c r="F42" i="2"/>
  <c r="E42" i="2"/>
  <c r="D42" i="2"/>
  <c r="C42" i="2"/>
  <c r="L30" i="2"/>
  <c r="K30" i="2"/>
  <c r="J30" i="2"/>
  <c r="L29" i="2"/>
  <c r="K29" i="2"/>
  <c r="L28" i="2"/>
  <c r="J28" i="2"/>
  <c r="I28" i="2"/>
  <c r="I34" i="2" s="1"/>
  <c r="I44" i="2" s="1"/>
  <c r="H28" i="2"/>
  <c r="H34" i="2" s="1"/>
  <c r="H44" i="2" s="1"/>
  <c r="G28" i="2"/>
  <c r="G34" i="2" s="1"/>
  <c r="G44" i="2" s="1"/>
  <c r="F28" i="2"/>
  <c r="F34" i="2" s="1"/>
  <c r="F44" i="2" s="1"/>
  <c r="E28" i="2"/>
  <c r="E34" i="2" s="1"/>
  <c r="E44" i="2" s="1"/>
  <c r="D28" i="2"/>
  <c r="D34" i="2" s="1"/>
  <c r="D44" i="2" s="1"/>
  <c r="C28" i="2"/>
  <c r="C34" i="2" s="1"/>
  <c r="C44" i="2" s="1"/>
  <c r="K25" i="2"/>
  <c r="K28" i="2" s="1"/>
  <c r="K34" i="2" s="1"/>
  <c r="K44" i="2" s="1"/>
  <c r="L12" i="2"/>
  <c r="L19" i="2" s="1"/>
  <c r="K12" i="2"/>
  <c r="K19" i="2" s="1"/>
  <c r="J12" i="2"/>
  <c r="J19" i="2" s="1"/>
  <c r="I12" i="2"/>
  <c r="I19" i="2" s="1"/>
  <c r="H12" i="2"/>
  <c r="H19" i="2" s="1"/>
  <c r="G12" i="2"/>
  <c r="G19" i="2" s="1"/>
  <c r="F12" i="2"/>
  <c r="F19" i="2" s="1"/>
  <c r="E12" i="2"/>
  <c r="E19" i="2" s="1"/>
  <c r="D12" i="2"/>
  <c r="D19" i="2" s="1"/>
  <c r="C12" i="2"/>
  <c r="C19" i="2" s="1"/>
  <c r="H11" i="3" l="1"/>
  <c r="H14" i="3" s="1"/>
  <c r="G11" i="3"/>
  <c r="G14" i="3" s="1"/>
  <c r="N13" i="4"/>
  <c r="O13" i="4"/>
  <c r="L11" i="3"/>
  <c r="L14" i="3" s="1"/>
  <c r="K11" i="3"/>
  <c r="K14" i="3" s="1"/>
  <c r="F11" i="3"/>
  <c r="F14" i="3" s="1"/>
  <c r="D13" i="4"/>
  <c r="J11" i="3"/>
  <c r="J14" i="3" s="1"/>
  <c r="I11" i="3"/>
  <c r="I14" i="3" s="1"/>
  <c r="D11" i="3"/>
  <c r="D14" i="3" s="1"/>
  <c r="B13" i="4"/>
  <c r="M11" i="3"/>
  <c r="M14" i="3" s="1"/>
  <c r="F15" i="4"/>
  <c r="E15" i="4"/>
  <c r="E14" i="4"/>
  <c r="E11" i="3"/>
  <c r="E14" i="3" s="1"/>
  <c r="C13" i="4"/>
  <c r="O7" i="4"/>
  <c r="M7" i="4"/>
  <c r="C18" i="3"/>
  <c r="C20" i="3" s="1"/>
  <c r="C24" i="3" s="1"/>
  <c r="K45" i="2"/>
  <c r="J34" i="2"/>
  <c r="J44" i="2" s="1"/>
  <c r="J45" i="2" s="1"/>
  <c r="M45" i="2"/>
  <c r="G45" i="2"/>
  <c r="F45" i="2"/>
  <c r="H45" i="2"/>
  <c r="L34" i="2"/>
  <c r="L44" i="2" s="1"/>
  <c r="L45" i="2" s="1"/>
  <c r="I45" i="2"/>
  <c r="C45" i="2"/>
  <c r="D45" i="2"/>
  <c r="E45" i="2"/>
  <c r="F14" i="4" l="1"/>
  <c r="C14" i="4"/>
  <c r="M13" i="4"/>
  <c r="B14" i="4"/>
  <c r="H14" i="4"/>
  <c r="I14" i="4"/>
  <c r="K14" i="4"/>
  <c r="G14" i="4"/>
  <c r="D14" i="4"/>
  <c r="H18" i="3"/>
  <c r="G18" i="3"/>
  <c r="J14" i="4"/>
  <c r="C23" i="3"/>
  <c r="J15" i="4" l="1"/>
  <c r="L18" i="3"/>
  <c r="I15" i="4"/>
  <c r="K18" i="3"/>
  <c r="H15" i="4"/>
  <c r="J18" i="3"/>
  <c r="G20" i="3"/>
  <c r="E11" i="4"/>
  <c r="D15" i="4"/>
  <c r="F18" i="3"/>
  <c r="O14" i="4"/>
  <c r="B15" i="4"/>
  <c r="D18" i="3"/>
  <c r="H20" i="3"/>
  <c r="F11" i="4"/>
  <c r="N14" i="4"/>
  <c r="G15" i="4"/>
  <c r="I18" i="3"/>
  <c r="K15" i="4"/>
  <c r="M18" i="3"/>
  <c r="M14" i="4"/>
  <c r="C15" i="4"/>
  <c r="E18" i="3"/>
  <c r="D20" i="3" l="1"/>
  <c r="B11" i="4"/>
  <c r="J20" i="3"/>
  <c r="H11" i="4"/>
  <c r="K20" i="3"/>
  <c r="I11" i="4"/>
  <c r="K11" i="4"/>
  <c r="M20" i="3"/>
  <c r="F20" i="3"/>
  <c r="D11" i="4"/>
  <c r="O15" i="4"/>
  <c r="N15" i="4"/>
  <c r="H6" i="5"/>
  <c r="F16" i="4"/>
  <c r="H24" i="3"/>
  <c r="H23" i="3"/>
  <c r="L20" i="3"/>
  <c r="J11" i="4"/>
  <c r="I20" i="3"/>
  <c r="G11" i="4"/>
  <c r="M15" i="4"/>
  <c r="G6" i="5"/>
  <c r="E16" i="4"/>
  <c r="G24" i="3"/>
  <c r="G23" i="3"/>
  <c r="E20" i="3"/>
  <c r="C11" i="4"/>
  <c r="N11" i="4" l="1"/>
  <c r="I6" i="5"/>
  <c r="G16" i="4"/>
  <c r="I23" i="3"/>
  <c r="I24" i="3"/>
  <c r="F6" i="5"/>
  <c r="D16" i="4"/>
  <c r="F23" i="3"/>
  <c r="F24" i="3"/>
  <c r="K6" i="5"/>
  <c r="I16" i="4"/>
  <c r="K24" i="3"/>
  <c r="K23" i="3"/>
  <c r="L6" i="5"/>
  <c r="J16" i="4"/>
  <c r="L23" i="3"/>
  <c r="L24" i="3"/>
  <c r="M6" i="5"/>
  <c r="K16" i="4"/>
  <c r="M23" i="3"/>
  <c r="M24" i="3"/>
  <c r="M11" i="4"/>
  <c r="O11" i="4"/>
  <c r="E6" i="5"/>
  <c r="C16" i="4"/>
  <c r="E24" i="3"/>
  <c r="E23" i="3"/>
  <c r="J6" i="5"/>
  <c r="H16" i="4"/>
  <c r="J23" i="3"/>
  <c r="J24" i="3"/>
  <c r="D6" i="5"/>
  <c r="D9" i="5" s="1"/>
  <c r="B16" i="4"/>
  <c r="D24" i="3"/>
  <c r="D23" i="3"/>
  <c r="M16" i="4" l="1"/>
  <c r="E5" i="5"/>
  <c r="E9" i="5" s="1"/>
  <c r="D11" i="5"/>
  <c r="N16" i="4"/>
  <c r="O16" i="4"/>
  <c r="E11" i="5" l="1"/>
  <c r="F5" i="5"/>
  <c r="F9" i="5" s="1"/>
  <c r="F11" i="5" l="1"/>
  <c r="G5" i="5"/>
  <c r="G9" i="5" s="1"/>
  <c r="H5" i="5" l="1"/>
  <c r="H9" i="5" s="1"/>
  <c r="G11" i="5"/>
  <c r="H11" i="5" l="1"/>
  <c r="I5" i="5"/>
  <c r="I9" i="5" s="1"/>
  <c r="I11" i="5" l="1"/>
  <c r="J5" i="5"/>
  <c r="J9" i="5" s="1"/>
  <c r="K9" i="5" l="1"/>
  <c r="L5" i="5" s="1"/>
  <c r="J11" i="5"/>
  <c r="K11" i="5" l="1"/>
  <c r="L9" i="5"/>
  <c r="M5" i="5" s="1"/>
  <c r="L11" i="5" l="1"/>
  <c r="M9" i="5"/>
  <c r="M11" i="5" l="1"/>
  <c r="N5" i="5"/>
  <c r="N7" i="6" l="1"/>
  <c r="O7" i="6"/>
  <c r="P7" i="6"/>
  <c r="Q7" i="6"/>
  <c r="R7" i="6"/>
  <c r="N12" i="6"/>
  <c r="O12" i="6"/>
  <c r="P12" i="6"/>
  <c r="Q12" i="6"/>
  <c r="R12" i="6"/>
  <c r="N19" i="6"/>
  <c r="O19" i="6"/>
  <c r="P19" i="6"/>
  <c r="Q19" i="6"/>
  <c r="R19" i="6"/>
  <c r="N27" i="6"/>
  <c r="O27" i="6"/>
  <c r="P27" i="6"/>
  <c r="Q27" i="6"/>
  <c r="R27" i="6"/>
  <c r="N29" i="6"/>
  <c r="O29" i="6"/>
  <c r="P29" i="6"/>
  <c r="Q29" i="6"/>
  <c r="R29" i="6"/>
  <c r="N37" i="6"/>
  <c r="O37" i="6"/>
  <c r="P37" i="6"/>
  <c r="Q37" i="6"/>
  <c r="R37" i="6"/>
  <c r="N42" i="6"/>
  <c r="O42" i="6"/>
  <c r="P42" i="6"/>
  <c r="Q42" i="6"/>
  <c r="R42" i="6"/>
  <c r="N45" i="6"/>
  <c r="O45" i="6"/>
  <c r="P45" i="6"/>
  <c r="Q45" i="6"/>
  <c r="R45" i="6"/>
  <c r="N47" i="6"/>
  <c r="O47" i="6"/>
  <c r="P47" i="6"/>
  <c r="Q47" i="6"/>
  <c r="R47" i="6"/>
  <c r="N48" i="6"/>
  <c r="O48" i="6"/>
  <c r="P48" i="6"/>
  <c r="Q48" i="6"/>
  <c r="R48" i="6"/>
  <c r="N50" i="6"/>
  <c r="O50" i="6"/>
  <c r="P50" i="6"/>
  <c r="Q50" i="6"/>
  <c r="R50" i="6"/>
  <c r="O5" i="5"/>
  <c r="P5" i="5"/>
  <c r="Q5" i="5"/>
  <c r="R5" i="5"/>
  <c r="N6" i="5"/>
  <c r="O6" i="5"/>
  <c r="P6" i="5"/>
  <c r="Q6" i="5"/>
  <c r="R6" i="5"/>
  <c r="N7" i="5"/>
  <c r="O7" i="5"/>
  <c r="P7" i="5"/>
  <c r="Q7" i="5"/>
  <c r="R7" i="5"/>
  <c r="N9" i="5"/>
  <c r="O9" i="5"/>
  <c r="P9" i="5"/>
  <c r="Q9" i="5"/>
  <c r="R9" i="5"/>
  <c r="F7" i="8"/>
  <c r="G7" i="8"/>
  <c r="H7" i="8"/>
  <c r="I7" i="8"/>
  <c r="J7" i="8"/>
  <c r="F11" i="8"/>
  <c r="G11" i="8"/>
  <c r="H11" i="8"/>
  <c r="I11" i="8"/>
  <c r="J11" i="8"/>
  <c r="F30" i="8"/>
  <c r="G30" i="8"/>
  <c r="H30" i="8"/>
  <c r="I30" i="8"/>
  <c r="J30" i="8"/>
  <c r="F31" i="8"/>
  <c r="G31" i="8"/>
  <c r="H31" i="8"/>
  <c r="I31" i="8"/>
  <c r="J31" i="8"/>
  <c r="F33" i="8"/>
  <c r="G33" i="8"/>
  <c r="H33" i="8"/>
  <c r="I33" i="8"/>
  <c r="J33" i="8"/>
  <c r="G36" i="8"/>
  <c r="H36" i="8"/>
  <c r="I36" i="8"/>
  <c r="J36" i="8"/>
  <c r="F37" i="8"/>
  <c r="G37" i="8"/>
  <c r="H37" i="8"/>
  <c r="I37" i="8"/>
  <c r="J37" i="8"/>
  <c r="F38" i="8"/>
  <c r="G38" i="8"/>
  <c r="H38" i="8"/>
  <c r="I38" i="8"/>
  <c r="J38" i="8"/>
  <c r="F41" i="8"/>
  <c r="G41" i="8"/>
  <c r="H41" i="8"/>
  <c r="I41" i="8"/>
  <c r="J41" i="8"/>
  <c r="F46" i="8"/>
  <c r="G46" i="8"/>
  <c r="H46" i="8"/>
  <c r="I46" i="8"/>
  <c r="J46" i="8"/>
  <c r="F47" i="8"/>
  <c r="G47" i="8"/>
  <c r="H47" i="8"/>
  <c r="I47" i="8"/>
  <c r="J47" i="8"/>
  <c r="F49" i="8"/>
  <c r="G49" i="8"/>
  <c r="H49" i="8"/>
  <c r="I49" i="8"/>
  <c r="J49" i="8"/>
  <c r="F56" i="8"/>
  <c r="G56" i="8"/>
  <c r="H56" i="8"/>
  <c r="I56" i="8"/>
  <c r="J56" i="8"/>
  <c r="D61" i="8"/>
  <c r="F67" i="8"/>
  <c r="G67" i="8"/>
  <c r="H67" i="8"/>
  <c r="I67" i="8"/>
  <c r="J67" i="8"/>
  <c r="C69" i="8"/>
  <c r="C70" i="8"/>
  <c r="E70" i="8"/>
  <c r="C71" i="8"/>
  <c r="E78" i="8"/>
  <c r="C84" i="8"/>
  <c r="C86" i="8"/>
  <c r="C88" i="8"/>
  <c r="C90" i="8"/>
  <c r="C93" i="8"/>
  <c r="C95" i="8"/>
  <c r="C97" i="8"/>
  <c r="E7" i="7"/>
  <c r="F7" i="7"/>
  <c r="G7" i="7"/>
  <c r="H7" i="7"/>
  <c r="I7" i="7"/>
  <c r="E11" i="7"/>
  <c r="F11" i="7"/>
  <c r="G11" i="7"/>
  <c r="H11" i="7"/>
  <c r="I11" i="7"/>
  <c r="E12" i="7"/>
  <c r="F12" i="7"/>
  <c r="G12" i="7"/>
  <c r="H12" i="7"/>
  <c r="I12" i="7"/>
  <c r="E52" i="7"/>
  <c r="F52" i="7"/>
  <c r="G52" i="7"/>
  <c r="H52" i="7"/>
  <c r="I52" i="7"/>
  <c r="E54" i="7"/>
  <c r="F54" i="7"/>
  <c r="G54" i="7"/>
  <c r="H54" i="7"/>
  <c r="I54" i="7"/>
  <c r="E57" i="7"/>
  <c r="F57" i="7"/>
  <c r="G57" i="7"/>
  <c r="H57" i="7"/>
  <c r="I57" i="7"/>
  <c r="E59" i="7"/>
  <c r="F59" i="7"/>
  <c r="G59" i="7"/>
  <c r="H59" i="7"/>
  <c r="I59" i="7"/>
  <c r="E63" i="7"/>
  <c r="F63" i="7"/>
  <c r="G63" i="7"/>
  <c r="H63" i="7"/>
  <c r="I63" i="7"/>
  <c r="E64" i="7"/>
  <c r="F64" i="7"/>
  <c r="G64" i="7"/>
  <c r="H64" i="7"/>
  <c r="I64" i="7"/>
  <c r="E68" i="7"/>
  <c r="F68" i="7"/>
  <c r="G68" i="7"/>
  <c r="H68" i="7"/>
  <c r="I68" i="7"/>
  <c r="E69" i="7"/>
  <c r="F69" i="7"/>
  <c r="G69" i="7"/>
  <c r="H69" i="7"/>
  <c r="I69" i="7"/>
  <c r="N15" i="3"/>
  <c r="O15" i="3"/>
  <c r="P15" i="3"/>
  <c r="Q15" i="3"/>
  <c r="R15" i="3"/>
  <c r="N16" i="3"/>
  <c r="O16" i="3"/>
  <c r="P16" i="3"/>
  <c r="Q16" i="3"/>
  <c r="R16" i="3"/>
  <c r="N18" i="3"/>
  <c r="O18" i="3"/>
  <c r="P18" i="3"/>
  <c r="Q18" i="3"/>
  <c r="R18" i="3"/>
  <c r="N19" i="3"/>
  <c r="O19" i="3"/>
  <c r="P19" i="3"/>
  <c r="Q19" i="3"/>
  <c r="R19" i="3"/>
  <c r="N20" i="3"/>
  <c r="O20" i="3"/>
  <c r="P20" i="3"/>
  <c r="Q20" i="3"/>
  <c r="R20" i="3"/>
  <c r="N23" i="3"/>
  <c r="O23" i="3"/>
  <c r="P23" i="3"/>
  <c r="Q23" i="3"/>
  <c r="R23" i="3"/>
  <c r="N24" i="3"/>
  <c r="O24" i="3"/>
  <c r="P24" i="3"/>
  <c r="Q24" i="3"/>
  <c r="R24" i="3"/>
  <c r="F12" i="15"/>
  <c r="G12" i="15"/>
  <c r="H12" i="15"/>
  <c r="I12" i="15"/>
  <c r="J12" i="15"/>
  <c r="F13" i="15"/>
  <c r="G13" i="15"/>
  <c r="H13" i="15"/>
  <c r="I13" i="15"/>
  <c r="J13" i="15"/>
  <c r="F14" i="15"/>
  <c r="G14" i="15"/>
  <c r="H14" i="15"/>
  <c r="I14" i="15"/>
  <c r="J14" i="15"/>
  <c r="F15" i="15"/>
  <c r="G15" i="15"/>
  <c r="H15" i="15"/>
  <c r="I15" i="15"/>
  <c r="J15" i="15"/>
  <c r="F17" i="15"/>
  <c r="G17" i="15"/>
  <c r="H17" i="15"/>
  <c r="I17" i="15"/>
  <c r="J17" i="15"/>
  <c r="F21" i="15"/>
  <c r="G21" i="15"/>
  <c r="H21" i="15"/>
  <c r="I21" i="15"/>
  <c r="J21" i="15"/>
  <c r="F22" i="15"/>
  <c r="G22" i="15"/>
  <c r="H22" i="15"/>
  <c r="I22" i="15"/>
  <c r="J22" i="15"/>
  <c r="F23" i="15"/>
  <c r="G23" i="15"/>
  <c r="H23" i="15"/>
  <c r="I23" i="15"/>
  <c r="J23" i="15"/>
  <c r="F24" i="15"/>
  <c r="G24" i="15"/>
  <c r="H24" i="15"/>
  <c r="I24" i="15"/>
  <c r="J24" i="15"/>
  <c r="F31" i="15"/>
  <c r="G31" i="15"/>
  <c r="H31" i="15"/>
  <c r="I31" i="15"/>
  <c r="J31" i="15"/>
  <c r="F33" i="15"/>
  <c r="G33" i="15"/>
  <c r="H33" i="15"/>
  <c r="I33" i="15"/>
  <c r="J33" i="15"/>
  <c r="F35" i="15"/>
  <c r="G35" i="15"/>
  <c r="H35" i="15"/>
  <c r="I35" i="15"/>
  <c r="J35" i="15"/>
  <c r="F36" i="15"/>
  <c r="G36" i="15"/>
  <c r="H36" i="15"/>
  <c r="I36" i="15"/>
  <c r="J36" i="15"/>
  <c r="F37" i="15"/>
  <c r="G37" i="15"/>
  <c r="H37" i="15"/>
  <c r="I37" i="15"/>
  <c r="J37" i="15"/>
  <c r="F38" i="15"/>
  <c r="G38" i="15"/>
  <c r="H38" i="15"/>
  <c r="I38" i="15"/>
  <c r="J38" i="15"/>
  <c r="F39" i="15"/>
  <c r="G39" i="15"/>
  <c r="H39" i="15"/>
  <c r="I39" i="15"/>
  <c r="J39" i="15"/>
  <c r="F40" i="15"/>
  <c r="G40" i="15"/>
  <c r="H40" i="15"/>
  <c r="I40" i="15"/>
  <c r="J40" i="15"/>
  <c r="F41" i="15"/>
  <c r="G41" i="15"/>
  <c r="H41" i="15"/>
  <c r="I41" i="15"/>
  <c r="J41" i="15"/>
  <c r="F43" i="15"/>
  <c r="G43" i="15"/>
  <c r="H43" i="15"/>
  <c r="I43" i="15"/>
  <c r="J43" i="15"/>
  <c r="F44" i="15"/>
  <c r="G44" i="15"/>
  <c r="H44" i="15"/>
  <c r="I44" i="15"/>
  <c r="J44" i="15"/>
  <c r="F45" i="15"/>
  <c r="G45" i="15"/>
  <c r="H45" i="15"/>
  <c r="I45" i="15"/>
  <c r="J45" i="15"/>
  <c r="F46" i="15"/>
  <c r="G46" i="15"/>
  <c r="H46" i="15"/>
  <c r="I46" i="15"/>
  <c r="J46" i="15"/>
  <c r="F47" i="15"/>
  <c r="G47" i="15"/>
  <c r="H47" i="15"/>
  <c r="I47" i="15"/>
  <c r="J47" i="15"/>
  <c r="F48" i="15"/>
  <c r="G48" i="15"/>
  <c r="H48" i="15"/>
  <c r="I48" i="15"/>
  <c r="J48" i="15"/>
  <c r="F49" i="15"/>
  <c r="G49" i="15"/>
  <c r="H49" i="15"/>
  <c r="I49" i="15"/>
  <c r="J49" i="15"/>
  <c r="F52" i="15"/>
  <c r="G52" i="15"/>
  <c r="H52" i="15"/>
  <c r="I52" i="15"/>
  <c r="J52" i="15"/>
  <c r="F53" i="15"/>
  <c r="G53" i="15"/>
  <c r="H53" i="15"/>
  <c r="I53" i="15"/>
  <c r="J53" i="15"/>
  <c r="F54" i="15"/>
  <c r="G54" i="15"/>
  <c r="H54" i="15"/>
  <c r="I54" i="15"/>
  <c r="J5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Freeman, Ken</author>
  </authors>
  <commentList>
    <comment ref="G25" authorId="0" shapeId="0" xr:uid="{DE79A2FD-D622-4E3F-AAF7-0EBC6C63B48B}">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
"</t>
        </r>
        <r>
          <rPr>
            <sz val="9"/>
            <color indexed="81"/>
            <rFont val="Tahoma"/>
            <family val="2"/>
          </rPr>
          <t>Revolving credit facility, short-term" of $20,000 thousand
"Revolving credit facility, autoborrow feature" of $2,800 thousand 
"Series A Notes, current portion of long-term debt" of $800 thousand</t>
        </r>
      </text>
    </comment>
    <comment ref="H25" authorId="0" shapeId="0" xr:uid="{2EBA4C5A-AA83-4803-AEEC-7D5EDB8C4840}">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
"</t>
        </r>
        <r>
          <rPr>
            <sz val="9"/>
            <color indexed="81"/>
            <rFont val="Tahoma"/>
            <family val="2"/>
          </rPr>
          <t>Revolving credit facility, short-term" of $20,000 thousand
"Revolving credit facility, autoborrow feature" of $405 thousand 
"Series A Notes, current portion of long-term debt" of $800 thousand</t>
        </r>
      </text>
    </comment>
    <comment ref="K25" authorId="0" shapeId="0" xr:uid="{B274FABF-BB6A-4615-9E42-1BD6B752140D}">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"Short-term portion of borrowings" of $39,173 thousand
less
"Series A Notes, current portion of long-term debt" of $800 thousand
= $38,373 thousand</t>
        </r>
      </text>
    </comment>
    <comment ref="L25" authorId="0" shapeId="0" xr:uid="{CDD63758-0AF0-4E2A-BCFD-DE5878887406}">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"Short-term portion of borrowings" of $10,800 thousand
less
"Series A Notes, current portion of long-term debt" of $800 thousand
= $10,000 thousand</t>
        </r>
      </text>
    </comment>
    <comment ref="M25" authorId="0" shapeId="0" xr:uid="{2901D6E3-C511-400F-8200-BBDF2042EB8A}">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"Short-term portion of borrowings" of $8,659 thousand
less
"Series A Notes, current portion of long-term debt" of $800 thousand
= $7,859 thousand</t>
        </r>
      </text>
    </comment>
    <comment ref="G26" authorId="0" shapeId="0" xr:uid="{A885CC22-F242-4398-B398-88C5BD2505DE}">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
"</t>
        </r>
        <r>
          <rPr>
            <sz val="9"/>
            <color indexed="81"/>
            <rFont val="Tahoma"/>
            <family val="2"/>
          </rPr>
          <t>Revolving credit facility, short-term" of $20,000 thousand
"Revolving credit facility, autoborrow feature" of $2,800 thousand 
"Series A Notes, current portion of long-term debt" of $800 thousand</t>
        </r>
      </text>
    </comment>
    <comment ref="H26" authorId="0" shapeId="0" xr:uid="{351AF39A-39F8-44CC-8A4C-AC3F951F6058}">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
"</t>
        </r>
        <r>
          <rPr>
            <sz val="9"/>
            <color indexed="81"/>
            <rFont val="Tahoma"/>
            <family val="2"/>
          </rPr>
          <t>Revolving credit facility, short-term" of $20,000 thousand
"Revolving credit facility, autoborrow feature" of $405 thousand 
"Series A Notes, current portion of long-term debt" of $800 thousand</t>
        </r>
      </text>
    </comment>
    <comment ref="I26" authorId="0" shapeId="0" xr:uid="{BD01161A-8E13-44DF-9652-B8F635C11327}">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"Series A Notes, current portion of long-term debt" of $800 thousand</t>
        </r>
      </text>
    </comment>
    <comment ref="J26" authorId="0" shapeId="0" xr:uid="{2CF82726-7002-416D-8506-2E0894EE24B3}">
      <text>
        <r>
          <rPr>
            <b/>
            <sz val="9"/>
            <color indexed="81"/>
            <rFont val="Tahoma"/>
            <family val="2"/>
          </rPr>
          <t>Freeman, Ken:</t>
        </r>
        <r>
          <rPr>
            <sz val="9"/>
            <color indexed="81"/>
            <rFont val="Tahoma"/>
            <family val="2"/>
          </rPr>
          <t xml:space="preserve">
</t>
        </r>
        <r>
          <rPr>
            <b/>
            <u/>
            <sz val="9"/>
            <color indexed="81"/>
            <rFont val="Tahoma"/>
            <family val="2"/>
          </rPr>
          <t>WDFC, 10K, 8/31/21, pg. F-18</t>
        </r>
        <r>
          <rPr>
            <b/>
            <sz val="9"/>
            <color indexed="81"/>
            <rFont val="Tahoma"/>
            <family val="2"/>
          </rPr>
          <t>:</t>
        </r>
        <r>
          <rPr>
            <sz val="9"/>
            <color indexed="81"/>
            <rFont val="Tahoma"/>
            <family val="2"/>
          </rPr>
          <t xml:space="preserve">
"Series A Notes, current portion of long-term debt" of $800 thousand</t>
        </r>
      </text>
    </comment>
    <comment ref="K26" authorId="0" shapeId="0" xr:uid="{37FB7CE5-20D3-4D21-B454-F15EABC3FD65}">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"Series A Notes, current portion of long-term debt" of $800 thousand</t>
        </r>
      </text>
    </comment>
    <comment ref="L26" authorId="0" shapeId="0" xr:uid="{C80D4AC5-91D2-463B-80C2-3A0B6B5EB8C5}">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A Notes, current portion of long-term debt" of $800 thousand</t>
        </r>
      </text>
    </comment>
    <comment ref="M26" authorId="0" shapeId="0" xr:uid="{54267A3A-94D4-4829-93B4-A2D4A170DCE1}">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"Series A Notes, current portion of long-term debt" of $800 thousand</t>
        </r>
      </text>
    </comment>
    <comment ref="G29" authorId="0" shapeId="0" xr:uid="{671618EE-1D77-4E6C-B1FC-AA10E5A19E6D}">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t>
        </r>
        <r>
          <rPr>
            <sz val="9"/>
            <color indexed="81"/>
            <rFont val="Tahoma"/>
            <family val="2"/>
          </rPr>
          <t xml:space="preserve">
"Revolving credit facility" of $44,000 thousand
"Series A Notes" of $18,800 thousand</t>
        </r>
      </text>
    </comment>
    <comment ref="H29" authorId="0" shapeId="0" xr:uid="{7D1A4B34-2FBF-4847-810A-4EE2B33FA1A1}">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$42,221 thousand
"Series A Notes" of $18,000 thousand</t>
        </r>
      </text>
    </comment>
    <comment ref="I29" authorId="0" shapeId="0" xr:uid="{2E9E1BF0-8F71-4777-B338-FDB3B5D8AF89}">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$95,898 thousand
"Series A Notes" of $17,200 thousand</t>
        </r>
      </text>
    </comment>
    <comment ref="J29" authorId="0" shapeId="0" xr:uid="{30592176-2098-481E-9662-7E92191BAA7B}">
      <text>
        <r>
          <rPr>
            <b/>
            <sz val="9"/>
            <color indexed="81"/>
            <rFont val="Tahoma"/>
            <family val="2"/>
          </rPr>
          <t>Freeman, Ken:</t>
        </r>
        <r>
          <rPr>
            <sz val="9"/>
            <color indexed="81"/>
            <rFont val="Tahoma"/>
            <family val="2"/>
          </rPr>
          <t xml:space="preserve">
</t>
        </r>
        <r>
          <rPr>
            <b/>
            <u/>
            <sz val="9"/>
            <color indexed="81"/>
            <rFont val="Tahoma"/>
            <family val="2"/>
          </rPr>
          <t>WDFC, 10K, 8/31/21, pg. F-18</t>
        </r>
        <r>
          <rPr>
            <b/>
            <sz val="9"/>
            <color indexed="81"/>
            <rFont val="Tahoma"/>
            <family val="2"/>
          </rPr>
          <t>:</t>
        </r>
        <r>
          <rPr>
            <sz val="9"/>
            <color indexed="81"/>
            <rFont val="Tahoma"/>
            <family val="2"/>
          </rPr>
          <t xml:space="preserve">
"Revolving credit facility" of $46,540 thousand
</t>
        </r>
      </text>
    </comment>
    <comment ref="K29" authorId="0" shapeId="0" xr:uid="{B2004A65-19E4-4CDA-8117-98688024EB8E}">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"Credit Agreement - revolving credit facility" of $77,912 thousand
</t>
        </r>
      </text>
    </comment>
    <comment ref="L29" authorId="0" shapeId="0" xr:uid="{D0F2AF38-3605-4278-9E62-FE3FEFB64B61}">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"Credit Agreement - revolving credit facility" of $52,943 thousand
less
Current Portion of $10,000 thousand</t>
        </r>
      </text>
    </comment>
    <comment ref="M29" authorId="0" shapeId="0" xr:uid="{9DD2853C-81CD-45B6-AB8B-7AD6D80B634B}">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"Credit Agreement - revolving credit facility" of $27,836 thousand
less
Current Portion of $7,859 thousand</t>
        </r>
      </text>
    </comment>
    <comment ref="G30" authorId="0" shapeId="0" xr:uid="{F2129F2E-CA15-40D1-93F4-D7DE7B700296}">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t>
        </r>
        <r>
          <rPr>
            <sz val="9"/>
            <color indexed="81"/>
            <rFont val="Tahoma"/>
            <family val="2"/>
          </rPr>
          <t xml:space="preserve">
"Revolving credit facility" of $44,000 thousand
"Series A Notes" of $18,800 thousand</t>
        </r>
      </text>
    </comment>
    <comment ref="H30" authorId="0" shapeId="0" xr:uid="{905FDD86-704D-496F-A2F7-9391A4BA21DF}">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$42,221 thousand
"Series A Notes" of $18,000 thousand</t>
        </r>
      </text>
    </comment>
    <comment ref="I30" authorId="0" shapeId="0" xr:uid="{1E7D4609-247C-46C1-85A3-9BE02DE78CFF}">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$95,898 thousand
"Series A Notes" of $17,200 thousand</t>
        </r>
      </text>
    </comment>
    <comment ref="J30" authorId="0" shapeId="0" xr:uid="{586A54F0-48E5-449F-A2D1-D05940D51B84}">
      <text>
        <r>
          <rPr>
            <b/>
            <sz val="9"/>
            <color indexed="81"/>
            <rFont val="Tahoma"/>
            <family val="2"/>
          </rPr>
          <t>Freeman, Ken:</t>
        </r>
        <r>
          <rPr>
            <sz val="9"/>
            <color indexed="81"/>
            <rFont val="Tahoma"/>
            <family val="2"/>
          </rPr>
          <t xml:space="preserve">
</t>
        </r>
        <r>
          <rPr>
            <b/>
            <u/>
            <sz val="9"/>
            <color indexed="81"/>
            <rFont val="Tahoma"/>
            <family val="2"/>
          </rPr>
          <t>WDFC, 10K, 8/31/21, pg. F-18</t>
        </r>
        <r>
          <rPr>
            <b/>
            <sz val="9"/>
            <color indexed="81"/>
            <rFont val="Tahoma"/>
            <family val="2"/>
          </rPr>
          <t>:</t>
        </r>
        <r>
          <rPr>
            <sz val="9"/>
            <color indexed="81"/>
            <rFont val="Tahoma"/>
            <family val="2"/>
          </rPr>
          <t xml:space="preserve">
"Series A Notes - 3.39% fixed rate" of $17,200 thousand (less current portion of 800) +
"Series B Notes - 2.50% fixed rate" of $26,000 +
"Series C Notes - 2.69% fixed rate" of $26,000</t>
        </r>
      </text>
    </comment>
    <comment ref="K30" authorId="0" shapeId="0" xr:uid="{733F1BB1-7DEF-41A6-8E1F-C54B2DEC9C74}">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"Series A Notes - 3.39% fixed rate" of $16,400 thousand (less current portion of 800) +
"Series B Notes - 2.50% fixed rate" of $26,000 +
"Series C Notes - 2.69% fixed rate" of $26,000</t>
        </r>
      </text>
    </comment>
    <comment ref="L30" authorId="0" shapeId="0" xr:uid="{F21D41E1-700A-431B-A673-EE50EDCC975B}">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A Notes - 3.39% fixed rate" of $15,600 thousand (less current portion of 800) +
"Series B Notes - 2.50% fixed rate" of $26,000 +
"Series C Notes - 2.69% fixed rate" of $26,000</t>
        </r>
      </text>
    </comment>
    <comment ref="M30" authorId="0" shapeId="0" xr:uid="{85A74F32-805A-4A72-9D98-96C3BCA44C4F}">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"Series A Notes - 3.39% fixed rate" of $14,800 thousand (less current portion of 800) +
"Series B Notes - 2.50% fixed rate" of $26,000 +
"Series C Notes - 2.69% fixed rate" of $26,000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Freeman, CFA</author>
    <author>Kenneth Freeman</author>
    <author>Freeman, Ken</author>
  </authors>
  <commentList>
    <comment ref="Q7" authorId="0" shapeId="0" xr:uid="{2177CCD4-BC6B-437C-8035-88AF6F5CC13E}">
      <text>
        <r>
          <rPr>
            <b/>
            <sz val="9"/>
            <color indexed="81"/>
            <rFont val="Tahoma"/>
            <family val="2"/>
          </rPr>
          <t>Ken Freeman, CFA:</t>
        </r>
        <r>
          <rPr>
            <sz val="9"/>
            <color indexed="81"/>
            <rFont val="Tahoma"/>
            <family val="2"/>
          </rPr>
          <t xml:space="preserve">
</t>
        </r>
        <r>
          <rPr>
            <b/>
            <u/>
            <sz val="9"/>
            <color indexed="81"/>
            <rFont val="Tahoma"/>
            <family val="2"/>
          </rPr>
          <t>WDFC, 10K, 8/31/24, pg. 27</t>
        </r>
        <r>
          <rPr>
            <b/>
            <sz val="9"/>
            <color indexed="81"/>
            <rFont val="Tahoma"/>
            <family val="2"/>
          </rPr>
          <t>:</t>
        </r>
        <r>
          <rPr>
            <sz val="9"/>
            <color indexed="81"/>
            <rFont val="Tahoma"/>
            <family val="2"/>
          </rPr>
          <t xml:space="preserve">
"The increase in SG&amp;A expenses was primarily due to increases in employee-related costs of $16.1 million primarily due to an </t>
        </r>
        <r>
          <rPr>
            <b/>
            <u/>
            <sz val="9"/>
            <color indexed="81"/>
            <rFont val="Tahoma"/>
            <family val="2"/>
          </rPr>
          <t>increase in accrued incentive compensation of $8.8 million</t>
        </r>
        <r>
          <rPr>
            <sz val="9"/>
            <color indexed="81"/>
            <rFont val="Tahoma"/>
            <family val="2"/>
          </rPr>
          <t xml:space="preserve">, as well as annual compensation increases and higher headcount. Professional services fees increased $6.1 million in support of our strategic initiatives in the Americas and EIMEA segments. The increase in professional service costs includes a </t>
        </r>
        <r>
          <rPr>
            <b/>
            <u/>
            <sz val="9"/>
            <color indexed="81"/>
            <rFont val="Tahoma"/>
            <family val="2"/>
          </rPr>
          <t>$2.7 million increase in computer-related costs, primarily associated with the ERP system we recently implemented</t>
        </r>
        <r>
          <rPr>
            <sz val="9"/>
            <color indexed="81"/>
            <rFont val="Tahoma"/>
            <family val="2"/>
          </rPr>
          <t xml:space="preserve"> in the U.S. and the amortization of cloud computing implementation costs associated with this system. In addition, professional services fees increased due to costs associated with the development of a direct market in Brazil. Travel and meeting expense increased SG&amp;A expense by $2.5 million primarily as a result of increased travel related to geographic expansion and other initiatives aligned with our strategic framework. </t>
        </r>
        <r>
          <rPr>
            <b/>
            <u/>
            <sz val="9"/>
            <color indexed="81"/>
            <rFont val="Tahoma"/>
            <family val="2"/>
          </rPr>
          <t>Unfavorable changes in foreign currency exchange rates increased SG&amp;A expenses by $2.1 million from period to period</t>
        </r>
        <r>
          <rPr>
            <sz val="9"/>
            <color indexed="81"/>
            <rFont val="Tahoma"/>
            <family val="2"/>
          </rPr>
          <t>.
One-time costs = $8.8 + $2.7 + $2.1 = $13.6 million
Actual SG&amp;A = $183,859 - $13,600 = $170,259
$170,259 / $590,557 = 28.8% (identical to 2023)
Went with 29%, slightly above 3 year average to be conservative</t>
        </r>
      </text>
    </comment>
    <comment ref="Q8" authorId="0" shapeId="0" xr:uid="{3579A714-B73E-4ECF-8EF0-30AB2709B935}">
      <text>
        <r>
          <rPr>
            <b/>
            <sz val="9"/>
            <color indexed="81"/>
            <rFont val="Tahoma"/>
            <family val="2"/>
          </rPr>
          <t>Ken Freeman, CFA:</t>
        </r>
        <r>
          <rPr>
            <sz val="9"/>
            <color indexed="81"/>
            <rFont val="Tahoma"/>
            <family val="2"/>
          </rPr>
          <t xml:space="preserve">
While 5.5% seems quite logical, mgmt guidance is 6% (1/10/25 presentation, pg. 46)</t>
        </r>
      </text>
    </comment>
    <comment ref="Q11" authorId="0" shapeId="0" xr:uid="{C94C7D63-A72F-490E-BFA3-5F682C13AF77}">
      <text>
        <r>
          <rPr>
            <b/>
            <sz val="9"/>
            <color indexed="81"/>
            <rFont val="Tahoma"/>
            <family val="2"/>
          </rPr>
          <t>Ken Freeman, CFA:</t>
        </r>
        <r>
          <rPr>
            <sz val="9"/>
            <color indexed="81"/>
            <rFont val="Tahoma"/>
            <family val="2"/>
          </rPr>
          <t xml:space="preserve">
</t>
        </r>
        <r>
          <rPr>
            <b/>
            <u/>
            <sz val="9"/>
            <color indexed="81"/>
            <rFont val="Tahoma"/>
            <family val="2"/>
          </rPr>
          <t>WDFC, 10K, 8/31/24, pg. F-26</t>
        </r>
        <r>
          <rPr>
            <b/>
            <sz val="9"/>
            <color indexed="81"/>
            <rFont val="Tahoma"/>
            <family val="2"/>
          </rPr>
          <t>:</t>
        </r>
        <r>
          <rPr>
            <sz val="9"/>
            <color indexed="81"/>
            <rFont val="Tahoma"/>
            <family val="2"/>
          </rPr>
          <t xml:space="preserve">
"The provision for income taxes was 23.9% and 22.5% of income before income taxes for the fiscal years ended August 31, 2024 and 2023, respectively. The increase in the effective income tax rate from period to period was primarily due to income taxed at higher tax rates in certain foreign jurisdictions from period to period."
52% of revenue is NON-US so, a tax rate higher than 21.0% is justified, especially with the trend of the last 2 years and expansion into higher tax jurisdictions</t>
        </r>
      </text>
    </comment>
    <comment ref="Q28" authorId="1" shapeId="0" xr:uid="{952C2E4B-07A9-4D33-BDE3-EC274099EF3B}">
      <text>
        <r>
          <rPr>
            <b/>
            <sz val="9"/>
            <color indexed="81"/>
            <rFont val="Tahoma"/>
            <family val="2"/>
          </rPr>
          <t>Kenneth Freeman:</t>
        </r>
        <r>
          <rPr>
            <sz val="9"/>
            <color indexed="81"/>
            <rFont val="Tahoma"/>
            <family val="2"/>
          </rPr>
          <t xml:space="preserve">
Top end of 1-2% Mgmt guidance</t>
        </r>
      </text>
    </comment>
    <comment ref="Q51" authorId="2" shapeId="0" xr:uid="{85A878D6-1AD3-4612-A929-D37F228B8B1E}">
      <text>
        <r>
          <rPr>
            <b/>
            <sz val="9"/>
            <color indexed="81"/>
            <rFont val="Tahoma"/>
            <family val="2"/>
          </rPr>
          <t>Freeman, Ken:</t>
        </r>
        <r>
          <rPr>
            <sz val="9"/>
            <color indexed="81"/>
            <rFont val="Tahoma"/>
            <family val="2"/>
          </rPr>
          <t xml:space="preserve">
Last 4 repurchase programs averaged close to $60mm completed.  
2 yr. program, 60/2 = 30.  60/75 = 80%, BUT current plan is only $50mm
</t>
        </r>
        <r>
          <rPr>
            <b/>
            <u/>
            <sz val="9"/>
            <color indexed="81"/>
            <rFont val="Tahoma"/>
            <family val="2"/>
          </rPr>
          <t>WDFC, 10Q, 11/30/24, pgs. 14-15</t>
        </r>
        <r>
          <rPr>
            <b/>
            <sz val="9"/>
            <color indexed="81"/>
            <rFont val="Tahoma"/>
            <family val="2"/>
          </rPr>
          <t>:</t>
        </r>
        <r>
          <rPr>
            <sz val="9"/>
            <color indexed="81"/>
            <rFont val="Tahoma"/>
            <family val="2"/>
          </rPr>
          <t xml:space="preserve">
</t>
        </r>
        <r>
          <rPr>
            <b/>
            <sz val="9"/>
            <color indexed="81"/>
            <rFont val="Tahoma"/>
            <family val="2"/>
          </rPr>
          <t>Note 9. Share Repurchase Plan</t>
        </r>
        <r>
          <rPr>
            <sz val="9"/>
            <color indexed="81"/>
            <rFont val="Tahoma"/>
            <family val="2"/>
          </rPr>
          <t xml:space="preserve">
"On June 19, 2023, the Company’s Board (the “Board”) approved a share repurchase plan (the “2023 Repurchase Plan”). Under the 2023 Repurchase Plan, which became effective on September 1, 2023, the Company is authorized to acquire up to $50.0 million of its outstanding shares through August 31, 2025. The timing and amount of repurchases are based on terms and conditions as may be acceptable to the Company’s Chief Executive Officer and Chief Financial Officer, subject to present loan covenants and in compliance with all laws and regulations applicable thereto. </t>
        </r>
        <r>
          <rPr>
            <b/>
            <u/>
            <sz val="9"/>
            <color indexed="81"/>
            <rFont val="Tahoma"/>
            <family val="2"/>
          </rPr>
          <t>During the three months ended November 30, 2024, the Company repurchased 13,750 shares at an average price of $263.75 per share, for a total cost of $3.6 million under this $50.0 million plan. As of November 30, 2024, the Company is authorized to purchase an additional $38.3 million under the 2023 Repurchase Plan</t>
        </r>
        <r>
          <rPr>
            <sz val="9"/>
            <color indexed="81"/>
            <rFont val="Tahoma"/>
            <family val="2"/>
          </rPr>
          <t>."</t>
        </r>
      </text>
    </comment>
    <comment ref="T54" authorId="1" shapeId="0" xr:uid="{F3610610-A014-4C93-B880-C03FB45997BD}">
      <text>
        <r>
          <rPr>
            <b/>
            <sz val="9"/>
            <color indexed="81"/>
            <rFont val="Tahoma"/>
            <family val="2"/>
          </rPr>
          <t>Kenneth Freeman:</t>
        </r>
        <r>
          <rPr>
            <sz val="9"/>
            <color indexed="81"/>
            <rFont val="Tahoma"/>
            <family val="2"/>
          </rPr>
          <t xml:space="preserve">
</t>
        </r>
        <r>
          <rPr>
            <b/>
            <u/>
            <sz val="9"/>
            <color indexed="81"/>
            <rFont val="Tahoma"/>
            <family val="2"/>
          </rPr>
          <t>WDFC, 8K, 4/30/24, pg. 12 of 120 of pdf</t>
        </r>
        <r>
          <rPr>
            <b/>
            <sz val="9"/>
            <color indexed="81"/>
            <rFont val="Tahoma"/>
            <family val="2"/>
          </rPr>
          <t xml:space="preserve">:
</t>
        </r>
        <r>
          <rPr>
            <sz val="9"/>
            <color indexed="81"/>
            <rFont val="Tahoma"/>
            <family val="2"/>
          </rPr>
          <t>Consolidated leverage ratio &lt; 1.00 (Debt/EBITDA)
This implies a spread of 1.00% +
SOFR for 8/31/24 is 5.40%
Source: https://www.newyorkfed.org/markets/reference-rates/sofr-averages-and-index</t>
        </r>
      </text>
    </comment>
    <comment ref="T55" authorId="1" shapeId="0" xr:uid="{5B938467-BABE-49B8-8832-9BC3DFB96311}">
      <text>
        <r>
          <rPr>
            <b/>
            <sz val="9"/>
            <color indexed="81"/>
            <rFont val="Tahoma"/>
            <family val="2"/>
          </rPr>
          <t>Kenneth Freeman:</t>
        </r>
        <r>
          <rPr>
            <sz val="9"/>
            <color indexed="81"/>
            <rFont val="Tahoma"/>
            <family val="2"/>
          </rPr>
          <t xml:space="preserve">
</t>
        </r>
        <r>
          <rPr>
            <b/>
            <u/>
            <sz val="9"/>
            <color indexed="81"/>
            <rFont val="Tahoma"/>
            <family val="2"/>
          </rPr>
          <t>WDFC, 10K, 8/31/24, pg. F-22</t>
        </r>
        <r>
          <rPr>
            <b/>
            <sz val="9"/>
            <color indexed="81"/>
            <rFont val="Tahoma"/>
            <family val="2"/>
          </rPr>
          <t xml:space="preserve">:
</t>
        </r>
        <r>
          <rPr>
            <sz val="9"/>
            <color indexed="81"/>
            <rFont val="Tahoma"/>
            <family val="2"/>
          </rPr>
          <t>Series A Notes – 3.39% fixed rate (2)
(2) Principal payments are required semi-annually in May and November of each year in equal installments of $0.4 million through May 15, 2032, resulting in $0.8 million classified as short term. The remaining outstanding principal in the amount of $8.4 million will become due on November 15, 2032.</t>
        </r>
      </text>
    </comment>
    <comment ref="T56" authorId="1" shapeId="0" xr:uid="{48EDCA60-EFFA-472D-9E50-29915768A3FA}">
      <text>
        <r>
          <rPr>
            <b/>
            <sz val="9"/>
            <color indexed="81"/>
            <rFont val="Tahoma"/>
            <family val="2"/>
          </rPr>
          <t>Kenneth Freeman:</t>
        </r>
        <r>
          <rPr>
            <sz val="9"/>
            <color indexed="81"/>
            <rFont val="Tahoma"/>
            <family val="2"/>
          </rPr>
          <t xml:space="preserve">
</t>
        </r>
        <r>
          <rPr>
            <b/>
            <u/>
            <sz val="9"/>
            <color indexed="81"/>
            <rFont val="Tahoma"/>
            <family val="2"/>
          </rPr>
          <t>WDFC, 10K, 8/31/24, pg. F-22</t>
        </r>
        <r>
          <rPr>
            <b/>
            <sz val="9"/>
            <color indexed="81"/>
            <rFont val="Tahoma"/>
            <family val="2"/>
          </rPr>
          <t xml:space="preserve">:
</t>
        </r>
        <r>
          <rPr>
            <sz val="9"/>
            <color indexed="81"/>
            <rFont val="Tahoma"/>
            <family val="2"/>
          </rPr>
          <t>Series B Notes – 2.50% fixed rate (3)
(3) Interest on notes is payable semi-annually in May and November of each year with no principal due until the maturity date.
Maturty =&gt; 11/15/2027</t>
        </r>
      </text>
    </comment>
    <comment ref="T57" authorId="1" shapeId="0" xr:uid="{271DA8E9-C94F-4E18-A955-7EBC7C0063FF}">
      <text>
        <r>
          <rPr>
            <b/>
            <sz val="9"/>
            <color indexed="81"/>
            <rFont val="Tahoma"/>
            <family val="2"/>
          </rPr>
          <t>Kenneth Freeman:</t>
        </r>
        <r>
          <rPr>
            <sz val="9"/>
            <color indexed="81"/>
            <rFont val="Tahoma"/>
            <family val="2"/>
          </rPr>
          <t xml:space="preserve">
</t>
        </r>
        <r>
          <rPr>
            <b/>
            <u/>
            <sz val="9"/>
            <color indexed="81"/>
            <rFont val="Tahoma"/>
            <family val="2"/>
          </rPr>
          <t>WDFC, 10K, 8/31/24, pg. F-22</t>
        </r>
        <r>
          <rPr>
            <b/>
            <sz val="9"/>
            <color indexed="81"/>
            <rFont val="Tahoma"/>
            <family val="2"/>
          </rPr>
          <t xml:space="preserve">:
</t>
        </r>
        <r>
          <rPr>
            <sz val="9"/>
            <color indexed="81"/>
            <rFont val="Tahoma"/>
            <family val="2"/>
          </rPr>
          <t>Series C Notes – 2.69% fixed rate (3)
(3) Interest on notes is payable semi-annually in May and November of each year with no principal due until the maturity date.
Maturty =&gt; 11/15/2030</t>
        </r>
      </text>
    </comment>
    <comment ref="T58" authorId="1" shapeId="0" xr:uid="{791C145E-FD1E-4C4A-828E-1AC10A804813}">
      <text>
        <r>
          <rPr>
            <b/>
            <sz val="9"/>
            <color indexed="81"/>
            <rFont val="Tahoma"/>
            <family val="2"/>
          </rPr>
          <t>Kenneth Freeman:</t>
        </r>
        <r>
          <rPr>
            <sz val="9"/>
            <color indexed="81"/>
            <rFont val="Tahoma"/>
            <family val="2"/>
          </rPr>
          <t xml:space="preserve">
Best high-yield savings accounts of March 2025 (Up to 4.75%)
https://www.bankrate.com/banking/savings/best-high-yield-interests-savings-accounts/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Rishi Katariwala</author>
    <author>RBS</author>
    <author>Freeman, Ken</author>
    <author>RBSUser</author>
    <author>Kenneth Freeman</author>
    <author>Ken Freeman, CFA</author>
  </authors>
  <commentList>
    <comment ref="D7" authorId="0" shapeId="0" xr:uid="{211FD2AD-79A5-421C-B47A-C3620EDE5672}">
      <text>
        <r>
          <rPr>
            <b/>
            <sz val="9"/>
            <color indexed="81"/>
            <rFont val="Tahoma"/>
            <family val="2"/>
          </rPr>
          <t xml:space="preserve">Freeman, Ken:
</t>
        </r>
        <r>
          <rPr>
            <b/>
            <u/>
            <sz val="9"/>
            <color indexed="81"/>
            <rFont val="Tahoma"/>
            <family val="2"/>
          </rPr>
          <t>WDFC, 10-K, 8/31/2017, P. F-6:</t>
        </r>
        <r>
          <rPr>
            <sz val="9"/>
            <color indexed="81"/>
            <rFont val="Tahoma"/>
            <family val="2"/>
          </rPr>
          <t xml:space="preserve"> "Dividends paid" of $21,720 thousand
</t>
        </r>
      </text>
    </comment>
    <comment ref="E7" authorId="1" shapeId="0" xr:uid="{AB3D6023-845D-4589-9DF0-400771EAEDF9}">
      <text>
        <r>
          <rPr>
            <b/>
            <sz val="9"/>
            <color indexed="81"/>
            <rFont val="Tahoma"/>
            <family val="2"/>
          </rPr>
          <t>Freeman, Ken:</t>
        </r>
        <r>
          <rPr>
            <sz val="9"/>
            <color indexed="81"/>
            <rFont val="Tahoma"/>
            <family val="2"/>
          </rPr>
          <t xml:space="preserve">
</t>
        </r>
        <r>
          <rPr>
            <b/>
            <u/>
            <sz val="9"/>
            <color indexed="81"/>
            <rFont val="Tahoma"/>
            <family val="2"/>
          </rPr>
          <t>WDFC, 10K, 8/31/18, pg. F-7</t>
        </r>
        <r>
          <rPr>
            <b/>
            <sz val="9"/>
            <color indexed="81"/>
            <rFont val="Tahoma"/>
            <family val="2"/>
          </rPr>
          <t xml:space="preserve">:
</t>
        </r>
        <r>
          <rPr>
            <sz val="9"/>
            <color indexed="81"/>
            <rFont val="Tahoma"/>
            <family val="2"/>
          </rPr>
          <t>"Dividends paid" of $23,669 thousand</t>
        </r>
      </text>
    </comment>
    <comment ref="F7" authorId="1" shapeId="0" xr:uid="{05956A98-2A95-4999-8A60-8DFB85EF5939}">
      <text>
        <r>
          <rPr>
            <b/>
            <sz val="9"/>
            <color indexed="81"/>
            <rFont val="Tahoma"/>
            <family val="2"/>
          </rPr>
          <t>Freeman, Ken:</t>
        </r>
        <r>
          <rPr>
            <sz val="9"/>
            <color indexed="81"/>
            <rFont val="Tahoma"/>
            <family val="2"/>
          </rPr>
          <t xml:space="preserve">
</t>
        </r>
        <r>
          <rPr>
            <b/>
            <u/>
            <sz val="9"/>
            <color indexed="81"/>
            <rFont val="Tahoma"/>
            <family val="2"/>
          </rPr>
          <t>WDFC, 10K, 8/31/19, pg. F-8</t>
        </r>
        <r>
          <rPr>
            <b/>
            <sz val="9"/>
            <color indexed="81"/>
            <rFont val="Tahoma"/>
            <family val="2"/>
          </rPr>
          <t xml:space="preserve">:
</t>
        </r>
        <r>
          <rPr>
            <sz val="9"/>
            <color indexed="81"/>
            <rFont val="Tahoma"/>
            <family val="2"/>
          </rPr>
          <t>"Dividends paid" of $26,808 thousand</t>
        </r>
      </text>
    </comment>
    <comment ref="G7" authorId="2" shapeId="0" xr:uid="{8282CA6A-1284-4FE5-883E-7A262CD25706}">
      <text>
        <r>
          <rPr>
            <b/>
            <sz val="9"/>
            <color indexed="81"/>
            <rFont val="Tahoma"/>
            <family val="2"/>
          </rPr>
          <t>Freeman, Ken:</t>
        </r>
        <r>
          <rPr>
            <sz val="9"/>
            <color indexed="81"/>
            <rFont val="Tahoma"/>
            <family val="2"/>
          </rPr>
          <t xml:space="preserve">
</t>
        </r>
        <r>
          <rPr>
            <b/>
            <u/>
            <sz val="9"/>
            <color indexed="81"/>
            <rFont val="Tahoma"/>
            <family val="2"/>
          </rPr>
          <t>WDFC, 10K, 8/31/20, pg. F-7</t>
        </r>
        <r>
          <rPr>
            <b/>
            <sz val="9"/>
            <color indexed="81"/>
            <rFont val="Tahoma"/>
            <family val="2"/>
          </rPr>
          <t xml:space="preserve">:
</t>
        </r>
        <r>
          <rPr>
            <sz val="9"/>
            <color indexed="81"/>
            <rFont val="Tahoma"/>
            <family val="2"/>
          </rPr>
          <t>"Dividends paid" of $29,585 thousand</t>
        </r>
      </text>
    </comment>
    <comment ref="H7" authorId="3" shapeId="0" xr:uid="{86DE13FA-84CA-40C5-8F8E-A83CBBE0A2DE}">
      <text>
        <r>
          <rPr>
            <b/>
            <sz val="9"/>
            <color indexed="81"/>
            <rFont val="Tahoma"/>
            <family val="2"/>
          </rPr>
          <t>RBSUser:</t>
        </r>
        <r>
          <rPr>
            <sz val="9"/>
            <color indexed="81"/>
            <rFont val="Tahoma"/>
            <family val="2"/>
          </rPr>
          <t xml:space="preserve">
</t>
        </r>
        <r>
          <rPr>
            <b/>
            <u/>
            <sz val="9"/>
            <color indexed="81"/>
            <rFont val="Tahoma"/>
            <family val="2"/>
          </rPr>
          <t>WDFC, 10K, 8/31/21, pg. F-7</t>
        </r>
        <r>
          <rPr>
            <b/>
            <sz val="9"/>
            <color indexed="81"/>
            <rFont val="Tahoma"/>
            <family val="2"/>
          </rPr>
          <t xml:space="preserve">:
</t>
        </r>
        <r>
          <rPr>
            <sz val="9"/>
            <color indexed="81"/>
            <rFont val="Tahoma"/>
            <family val="2"/>
          </rPr>
          <t>"Dividends paid" of $32,889 thousand</t>
        </r>
      </text>
    </comment>
    <comment ref="I7" authorId="3" shapeId="0" xr:uid="{9F8662E4-92BB-43B7-A565-8FF62A4FC161}">
      <text>
        <r>
          <rPr>
            <b/>
            <sz val="9"/>
            <color indexed="81"/>
            <rFont val="Tahoma"/>
            <family val="2"/>
          </rPr>
          <t>RBSUser:</t>
        </r>
        <r>
          <rPr>
            <sz val="9"/>
            <color indexed="81"/>
            <rFont val="Tahoma"/>
            <family val="2"/>
          </rPr>
          <t xml:space="preserve">
</t>
        </r>
        <r>
          <rPr>
            <b/>
            <u/>
            <sz val="9"/>
            <color indexed="81"/>
            <rFont val="Tahoma"/>
            <family val="2"/>
          </rPr>
          <t>WDFC, 10K, 8/31/22, pg. F-7</t>
        </r>
        <r>
          <rPr>
            <b/>
            <sz val="9"/>
            <color indexed="81"/>
            <rFont val="Tahoma"/>
            <family val="2"/>
          </rPr>
          <t xml:space="preserve">:
</t>
        </r>
        <r>
          <rPr>
            <sz val="9"/>
            <color indexed="81"/>
            <rFont val="Tahoma"/>
            <family val="2"/>
          </rPr>
          <t>"Dividends paid" of $36,039 thousand</t>
        </r>
      </text>
    </comment>
    <comment ref="J7" authorId="4" shapeId="0" xr:uid="{FBBE9F78-35D8-415E-BF62-6EE09B63AFD4}">
      <text>
        <r>
          <rPr>
            <b/>
            <sz val="9"/>
            <color indexed="81"/>
            <rFont val="Tahoma"/>
            <family val="2"/>
          </rPr>
          <t>Kenneth Freeman:</t>
        </r>
        <r>
          <rPr>
            <sz val="9"/>
            <color indexed="81"/>
            <rFont val="Tahoma"/>
            <family val="2"/>
          </rPr>
          <t xml:space="preserve">
</t>
        </r>
        <r>
          <rPr>
            <b/>
            <u/>
            <sz val="9"/>
            <color indexed="81"/>
            <rFont val="Tahoma"/>
            <family val="2"/>
          </rPr>
          <t>WDFC, 10K, 8/31/23, pg. F-7</t>
        </r>
        <r>
          <rPr>
            <b/>
            <sz val="9"/>
            <color indexed="81"/>
            <rFont val="Tahoma"/>
            <family val="2"/>
          </rPr>
          <t>:</t>
        </r>
        <r>
          <rPr>
            <sz val="9"/>
            <color indexed="81"/>
            <rFont val="Tahoma"/>
            <family val="2"/>
          </rPr>
          <t xml:space="preserve">
"Dividends paid" of $38,225 thousand</t>
        </r>
      </text>
    </comment>
    <comment ref="K7" authorId="5" shapeId="0" xr:uid="{C77D6EF5-0C59-4A26-A585-C04152403E51}">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"Dividends Paid" of $41,988 thousand</t>
        </r>
      </text>
    </comment>
    <comment ref="L7" authorId="5" shapeId="0" xr:uid="{AD1EA17E-6344-4091-9074-D31E3E89774B}">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"Dividends Paid" of $44,581 thousand</t>
        </r>
      </text>
    </comment>
    <comment ref="M7" authorId="5" shapeId="0" xr:uid="{330DE730-DE9E-469C-93E6-1267BE05A6A1}">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"Dividends Paid" of $47,201 thousand</t>
        </r>
      </text>
    </comment>
    <comment ref="G8" authorId="2" shapeId="0" xr:uid="{4FC639E3-3800-4078-BF19-97537C337EBB}">
      <text>
        <r>
          <rPr>
            <b/>
            <sz val="9"/>
            <color indexed="81"/>
            <rFont val="Tahoma"/>
            <family val="2"/>
          </rPr>
          <t>Freeman, Ken:</t>
        </r>
        <r>
          <rPr>
            <sz val="9"/>
            <color indexed="81"/>
            <rFont val="Tahoma"/>
            <family val="2"/>
          </rPr>
          <t xml:space="preserve">
</t>
        </r>
        <r>
          <rPr>
            <b/>
            <u/>
            <sz val="9"/>
            <color indexed="81"/>
            <rFont val="Tahoma"/>
            <family val="2"/>
          </rPr>
          <t>WDFC, 10K, 8/31/20, pg. F-6</t>
        </r>
        <r>
          <rPr>
            <b/>
            <sz val="9"/>
            <color indexed="81"/>
            <rFont val="Tahoma"/>
            <family val="2"/>
          </rPr>
          <t xml:space="preserve">:
</t>
        </r>
        <r>
          <rPr>
            <sz val="9"/>
            <color indexed="81"/>
            <rFont val="Tahoma"/>
            <family val="2"/>
          </rPr>
          <t>"Cumulative effect of change in accounting principle" of ($128) thousand</t>
        </r>
      </text>
    </comment>
    <comment ref="H8" authorId="3" shapeId="0" xr:uid="{E6CB85E9-43BB-48B4-A21B-0BE544408CC2}">
      <text>
        <r>
          <rPr>
            <b/>
            <sz val="9"/>
            <color indexed="81"/>
            <rFont val="Tahoma"/>
            <family val="2"/>
          </rPr>
          <t>RBSUser:</t>
        </r>
        <r>
          <rPr>
            <sz val="9"/>
            <color indexed="81"/>
            <rFont val="Tahoma"/>
            <family val="2"/>
          </rPr>
          <t xml:space="preserve">
</t>
        </r>
        <r>
          <rPr>
            <b/>
            <u/>
            <sz val="9"/>
            <color indexed="81"/>
            <rFont val="Tahoma"/>
            <family val="2"/>
          </rPr>
          <t>WDFC, 10K, 8/31/21, pg. F-6</t>
        </r>
        <r>
          <rPr>
            <b/>
            <sz val="9"/>
            <color indexed="81"/>
            <rFont val="Tahoma"/>
            <family val="2"/>
          </rPr>
          <t xml:space="preserve">:
</t>
        </r>
        <r>
          <rPr>
            <sz val="9"/>
            <color indexed="81"/>
            <rFont val="Tahoma"/>
            <family val="2"/>
          </rPr>
          <t>"Cumulative effect of change in accounting principle" of $225 thousand</t>
        </r>
      </text>
    </comment>
    <comment ref="D20" authorId="0" shapeId="0" xr:uid="{3088DF50-1915-4DAA-A214-DB41976556D7}">
      <text>
        <r>
          <rPr>
            <b/>
            <sz val="9"/>
            <color indexed="81"/>
            <rFont val="Tahoma"/>
            <family val="2"/>
          </rPr>
          <t xml:space="preserve">Freeman, Ken:
</t>
        </r>
        <r>
          <rPr>
            <b/>
            <u/>
            <sz val="9"/>
            <color indexed="81"/>
            <rFont val="Tahoma"/>
            <family val="2"/>
          </rPr>
          <t>WDFC, 10-K, 8/31/2017, P. F-6:</t>
        </r>
        <r>
          <rPr>
            <sz val="9"/>
            <color indexed="81"/>
            <rFont val="Tahoma"/>
            <family val="2"/>
          </rPr>
          <t xml:space="preserve"> 
"Purchases of property and equipment" of $5,784 thousand
</t>
        </r>
      </text>
    </comment>
    <comment ref="E20" authorId="1" shapeId="0" xr:uid="{E5722481-D80D-4CB7-851F-DF1912FEEADC}">
      <text>
        <r>
          <rPr>
            <b/>
            <sz val="9"/>
            <color indexed="81"/>
            <rFont val="Tahoma"/>
            <family val="2"/>
          </rPr>
          <t>Freeman, Ken:</t>
        </r>
        <r>
          <rPr>
            <sz val="9"/>
            <color indexed="81"/>
            <rFont val="Tahoma"/>
            <family val="2"/>
          </rPr>
          <t xml:space="preserve">
</t>
        </r>
        <r>
          <rPr>
            <b/>
            <u/>
            <sz val="9"/>
            <color indexed="81"/>
            <rFont val="Tahoma"/>
            <family val="2"/>
          </rPr>
          <t>WDFC, 10K, 8/31/18, pg. F-7</t>
        </r>
        <r>
          <rPr>
            <b/>
            <sz val="9"/>
            <color indexed="81"/>
            <rFont val="Tahoma"/>
            <family val="2"/>
          </rPr>
          <t xml:space="preserve">:
</t>
        </r>
        <r>
          <rPr>
            <sz val="9"/>
            <color indexed="81"/>
            <rFont val="Tahoma"/>
            <family val="2"/>
          </rPr>
          <t>"Purchases of Property &amp; Equipmen" of $4,354 thousand</t>
        </r>
      </text>
    </comment>
    <comment ref="F20" authorId="1" shapeId="0" xr:uid="{627FC7CC-4137-4EA6-AF71-6302BAACF9ED}">
      <text>
        <r>
          <rPr>
            <b/>
            <sz val="9"/>
            <color indexed="81"/>
            <rFont val="Tahoma"/>
            <family val="2"/>
          </rPr>
          <t>Freeman, Ken:</t>
        </r>
        <r>
          <rPr>
            <sz val="9"/>
            <color indexed="81"/>
            <rFont val="Tahoma"/>
            <family val="2"/>
          </rPr>
          <t xml:space="preserve">
</t>
        </r>
        <r>
          <rPr>
            <b/>
            <u/>
            <sz val="9"/>
            <color indexed="81"/>
            <rFont val="Tahoma"/>
            <family val="2"/>
          </rPr>
          <t>WDFC, 10K, 8/31/19, pg. F-8</t>
        </r>
        <r>
          <rPr>
            <b/>
            <sz val="9"/>
            <color indexed="81"/>
            <rFont val="Tahoma"/>
            <family val="2"/>
          </rPr>
          <t xml:space="preserve">:
</t>
        </r>
        <r>
          <rPr>
            <sz val="9"/>
            <color indexed="81"/>
            <rFont val="Tahoma"/>
            <family val="2"/>
          </rPr>
          <t>"Purchases of property and equipment" of $20,150 thousand</t>
        </r>
      </text>
    </comment>
    <comment ref="G20" authorId="2" shapeId="0" xr:uid="{04EC18A0-E94F-4EA1-B267-D86CA98B4C6E}">
      <text>
        <r>
          <rPr>
            <b/>
            <sz val="9"/>
            <color indexed="81"/>
            <rFont val="Tahoma"/>
            <family val="2"/>
          </rPr>
          <t>Freeman, Ken:</t>
        </r>
        <r>
          <rPr>
            <sz val="9"/>
            <color indexed="81"/>
            <rFont val="Tahoma"/>
            <family val="2"/>
          </rPr>
          <t xml:space="preserve">
</t>
        </r>
        <r>
          <rPr>
            <b/>
            <u/>
            <sz val="9"/>
            <color indexed="81"/>
            <rFont val="Tahoma"/>
            <family val="2"/>
          </rPr>
          <t>WDFC, 10K, 8/31/20, pg. F-7</t>
        </r>
        <r>
          <rPr>
            <b/>
            <sz val="9"/>
            <color indexed="81"/>
            <rFont val="Tahoma"/>
            <family val="2"/>
          </rPr>
          <t xml:space="preserve">:
</t>
        </r>
        <r>
          <rPr>
            <sz val="9"/>
            <color indexed="81"/>
            <rFont val="Tahoma"/>
            <family val="2"/>
          </rPr>
          <t>"Purchases of property and equipment" of $12,356 thousand</t>
        </r>
      </text>
    </comment>
    <comment ref="H20" authorId="3" shapeId="0" xr:uid="{E85E3D1D-41EE-4304-A0A7-3BE283EB82D9}">
      <text>
        <r>
          <rPr>
            <b/>
            <sz val="9"/>
            <color indexed="81"/>
            <rFont val="Tahoma"/>
            <family val="2"/>
          </rPr>
          <t>RBSUser:</t>
        </r>
        <r>
          <rPr>
            <sz val="9"/>
            <color indexed="81"/>
            <rFont val="Tahoma"/>
            <family val="2"/>
          </rPr>
          <t xml:space="preserve">
</t>
        </r>
        <r>
          <rPr>
            <b/>
            <u/>
            <sz val="9"/>
            <color indexed="81"/>
            <rFont val="Tahoma"/>
            <family val="2"/>
          </rPr>
          <t>WDFC, 10K, 8/31/21, pg. F-7</t>
        </r>
        <r>
          <rPr>
            <b/>
            <sz val="9"/>
            <color indexed="81"/>
            <rFont val="Tahoma"/>
            <family val="2"/>
          </rPr>
          <t xml:space="preserve">:
</t>
        </r>
        <r>
          <rPr>
            <sz val="9"/>
            <color indexed="81"/>
            <rFont val="Tahoma"/>
            <family val="2"/>
          </rPr>
          <t>"Purchases of property and equipment" of $13,282 thousand</t>
        </r>
      </text>
    </comment>
    <comment ref="I20" authorId="3" shapeId="0" xr:uid="{9D768068-0026-47E2-BEF3-3C849124BFC8}">
      <text>
        <r>
          <rPr>
            <b/>
            <sz val="9"/>
            <color indexed="81"/>
            <rFont val="Tahoma"/>
            <family val="2"/>
          </rPr>
          <t>RBSUser:</t>
        </r>
        <r>
          <rPr>
            <sz val="9"/>
            <color indexed="81"/>
            <rFont val="Tahoma"/>
            <family val="2"/>
          </rPr>
          <t xml:space="preserve">
</t>
        </r>
        <r>
          <rPr>
            <b/>
            <u/>
            <sz val="9"/>
            <color indexed="81"/>
            <rFont val="Tahoma"/>
            <family val="2"/>
          </rPr>
          <t>WDFC, 10K, 8/31/22, pg. F-7</t>
        </r>
        <r>
          <rPr>
            <b/>
            <sz val="9"/>
            <color indexed="81"/>
            <rFont val="Tahoma"/>
            <family val="2"/>
          </rPr>
          <t xml:space="preserve">:
</t>
        </r>
        <r>
          <rPr>
            <sz val="9"/>
            <color indexed="81"/>
            <rFont val="Tahoma"/>
            <family val="2"/>
          </rPr>
          <t>"Purchases of property and equipment" of $19,307 thousand</t>
        </r>
      </text>
    </comment>
    <comment ref="J20" authorId="4" shapeId="0" xr:uid="{DA3ADB2B-CAFC-4B11-ABC5-5F61A156805E}">
      <text>
        <r>
          <rPr>
            <b/>
            <sz val="9"/>
            <color indexed="81"/>
            <rFont val="Tahoma"/>
            <family val="2"/>
          </rPr>
          <t>Kenneth Freeman:</t>
        </r>
        <r>
          <rPr>
            <sz val="9"/>
            <color indexed="81"/>
            <rFont val="Tahoma"/>
            <family val="2"/>
          </rPr>
          <t xml:space="preserve">
</t>
        </r>
        <r>
          <rPr>
            <b/>
            <u/>
            <sz val="9"/>
            <color indexed="81"/>
            <rFont val="Tahoma"/>
            <family val="2"/>
          </rPr>
          <t>WDFC, 10K, 8/31/23, pg. F-7</t>
        </r>
        <r>
          <rPr>
            <b/>
            <sz val="9"/>
            <color indexed="81"/>
            <rFont val="Tahoma"/>
            <family val="2"/>
          </rPr>
          <t>:</t>
        </r>
        <r>
          <rPr>
            <sz val="9"/>
            <color indexed="81"/>
            <rFont val="Tahoma"/>
            <family val="2"/>
          </rPr>
          <t xml:space="preserve">
"Purchases of property and equipment" of $15,059 thousand</t>
        </r>
      </text>
    </comment>
    <comment ref="K20" authorId="5" shapeId="0" xr:uid="{37A9E67E-944D-499D-A83F-36FDE1E855F6}">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"Purchases of property and equipment" of $8,303 thousand</t>
        </r>
      </text>
    </comment>
    <comment ref="L20" authorId="5" shapeId="0" xr:uid="{4E2DE029-FAA7-447E-AE90-AF5B5B056289}">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"Purchases of property and equipment" of $6,871 thousand</t>
        </r>
      </text>
    </comment>
    <comment ref="M20" authorId="5" shapeId="0" xr:uid="{02D2CBCD-9695-405D-A286-C1E21D2C54F7}">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"Purchases of property and equipment" of $4,206 thousand</t>
        </r>
      </text>
    </comment>
    <comment ref="C24" authorId="0" shapeId="0" xr:uid="{EA7E1FC7-36C0-41AB-B36D-5323631CD231}">
      <text>
        <r>
          <rPr>
            <b/>
            <sz val="9"/>
            <color indexed="81"/>
            <rFont val="Tahoma"/>
            <family val="2"/>
          </rPr>
          <t xml:space="preserve">Freeman, Ken:
</t>
        </r>
        <r>
          <rPr>
            <b/>
            <u/>
            <sz val="9"/>
            <color indexed="81"/>
            <rFont val="Tahoma"/>
            <family val="2"/>
          </rPr>
          <t>WDFC, 10-K, 8/31/2016, P. F-6:</t>
        </r>
        <r>
          <rPr>
            <sz val="9"/>
            <color indexed="81"/>
            <rFont val="Tahoma"/>
            <family val="2"/>
          </rPr>
          <t xml:space="preserve"> "Depreciation and Amortization" of $5,860 thousand
</t>
        </r>
      </text>
    </comment>
    <comment ref="D24" authorId="0" shapeId="0" xr:uid="{73ECDFF7-1F77-4202-822F-E4AB3D99104C}">
      <text>
        <r>
          <rPr>
            <b/>
            <sz val="9"/>
            <color indexed="81"/>
            <rFont val="Tahoma"/>
            <family val="2"/>
          </rPr>
          <t xml:space="preserve">Freeman, Ken:
</t>
        </r>
        <r>
          <rPr>
            <b/>
            <u/>
            <sz val="9"/>
            <color indexed="81"/>
            <rFont val="Tahoma"/>
            <family val="2"/>
          </rPr>
          <t>WDFC, 10-K, 8/31/2017, P. F-6:</t>
        </r>
        <r>
          <rPr>
            <sz val="9"/>
            <color indexed="81"/>
            <rFont val="Tahoma"/>
            <family val="2"/>
          </rPr>
          <t xml:space="preserve"> "Depreciation and Amortization" of $6,464 thousand
</t>
        </r>
      </text>
    </comment>
    <comment ref="E24" authorId="1" shapeId="0" xr:uid="{76167AEF-BDB9-4F29-9B9B-E2A45BD0B656}">
      <text>
        <r>
          <rPr>
            <b/>
            <sz val="9"/>
            <color indexed="81"/>
            <rFont val="Tahoma"/>
            <family val="2"/>
          </rPr>
          <t>Freeman, Ken:</t>
        </r>
        <r>
          <rPr>
            <sz val="9"/>
            <color indexed="81"/>
            <rFont val="Tahoma"/>
            <family val="2"/>
          </rPr>
          <t xml:space="preserve">
</t>
        </r>
        <r>
          <rPr>
            <b/>
            <u/>
            <sz val="9"/>
            <color indexed="81"/>
            <rFont val="Tahoma"/>
            <family val="2"/>
          </rPr>
          <t>WDFC, 10K, 8/31/18, pg. F-7</t>
        </r>
        <r>
          <rPr>
            <b/>
            <sz val="9"/>
            <color indexed="81"/>
            <rFont val="Tahoma"/>
            <family val="2"/>
          </rPr>
          <t xml:space="preserve">:
</t>
        </r>
        <r>
          <rPr>
            <sz val="9"/>
            <color indexed="81"/>
            <rFont val="Tahoma"/>
            <family val="2"/>
          </rPr>
          <t>"Depreciation &amp; Amortization" of $6,645 thousand</t>
        </r>
      </text>
    </comment>
    <comment ref="F24" authorId="1" shapeId="0" xr:uid="{1BA7BDA0-0B9A-45AB-9EBB-9DE8838603ED}">
      <text>
        <r>
          <rPr>
            <b/>
            <sz val="9"/>
            <color indexed="81"/>
            <rFont val="Tahoma"/>
            <family val="2"/>
          </rPr>
          <t>Freeman, Ken:</t>
        </r>
        <r>
          <rPr>
            <sz val="9"/>
            <color indexed="81"/>
            <rFont val="Tahoma"/>
            <family val="2"/>
          </rPr>
          <t xml:space="preserve">
</t>
        </r>
        <r>
          <rPr>
            <b/>
            <u/>
            <sz val="9"/>
            <color indexed="81"/>
            <rFont val="Tahoma"/>
            <family val="2"/>
          </rPr>
          <t>WDFC, 10K, 8/31/19, pg. F-8</t>
        </r>
        <r>
          <rPr>
            <b/>
            <sz val="9"/>
            <color indexed="81"/>
            <rFont val="Tahoma"/>
            <family val="2"/>
          </rPr>
          <t xml:space="preserve">:
</t>
        </r>
        <r>
          <rPr>
            <sz val="9"/>
            <color indexed="81"/>
            <rFont val="Tahoma"/>
            <family val="2"/>
          </rPr>
          <t>"Depreciation and amortization" of $6,769 thousand</t>
        </r>
      </text>
    </comment>
    <comment ref="G24" authorId="2" shapeId="0" xr:uid="{D7BB3B09-F879-4654-9AB2-D0B443F6EF12}">
      <text>
        <r>
          <rPr>
            <b/>
            <sz val="9"/>
            <color indexed="81"/>
            <rFont val="Tahoma"/>
            <family val="2"/>
          </rPr>
          <t>Freeman, Ken:</t>
        </r>
        <r>
          <rPr>
            <sz val="9"/>
            <color indexed="81"/>
            <rFont val="Tahoma"/>
            <family val="2"/>
          </rPr>
          <t xml:space="preserve">
</t>
        </r>
        <r>
          <rPr>
            <b/>
            <u/>
            <sz val="9"/>
            <color indexed="81"/>
            <rFont val="Tahoma"/>
            <family val="2"/>
          </rPr>
          <t>WDFC, 10K, 8/31/20, pg. F-7</t>
        </r>
        <r>
          <rPr>
            <b/>
            <sz val="9"/>
            <color indexed="81"/>
            <rFont val="Tahoma"/>
            <family val="2"/>
          </rPr>
          <t xml:space="preserve">:
</t>
        </r>
        <r>
          <rPr>
            <sz val="9"/>
            <color indexed="81"/>
            <rFont val="Tahoma"/>
            <family val="2"/>
          </rPr>
          <t>"Depreciation and Amortization" of $7,800 thousand</t>
        </r>
      </text>
    </comment>
    <comment ref="H24" authorId="3" shapeId="0" xr:uid="{B9F168D5-3AC6-4A0D-AA86-563DF30C9E31}">
      <text>
        <r>
          <rPr>
            <b/>
            <sz val="9"/>
            <color indexed="81"/>
            <rFont val="Tahoma"/>
            <family val="2"/>
          </rPr>
          <t>RBSUser:</t>
        </r>
        <r>
          <rPr>
            <sz val="9"/>
            <color indexed="81"/>
            <rFont val="Tahoma"/>
            <family val="2"/>
          </rPr>
          <t xml:space="preserve">
</t>
        </r>
        <r>
          <rPr>
            <b/>
            <u/>
            <sz val="9"/>
            <color indexed="81"/>
            <rFont val="Tahoma"/>
            <family val="2"/>
          </rPr>
          <t>WDFC, 10K, 8/31/21, pg. F-7</t>
        </r>
        <r>
          <rPr>
            <b/>
            <sz val="9"/>
            <color indexed="81"/>
            <rFont val="Tahoma"/>
            <family val="2"/>
          </rPr>
          <t xml:space="preserve">:
</t>
        </r>
        <r>
          <rPr>
            <sz val="9"/>
            <color indexed="81"/>
            <rFont val="Tahoma"/>
            <family val="2"/>
          </rPr>
          <t>"Depreciation and amortization" of $7,593 thousand</t>
        </r>
      </text>
    </comment>
    <comment ref="I24" authorId="3" shapeId="0" xr:uid="{F8F3F848-63A1-488F-9953-18C71D06D849}">
      <text>
        <r>
          <rPr>
            <b/>
            <sz val="9"/>
            <color indexed="81"/>
            <rFont val="Tahoma"/>
            <family val="2"/>
          </rPr>
          <t>RBSUser:</t>
        </r>
        <r>
          <rPr>
            <sz val="9"/>
            <color indexed="81"/>
            <rFont val="Tahoma"/>
            <family val="2"/>
          </rPr>
          <t xml:space="preserve">
</t>
        </r>
        <r>
          <rPr>
            <b/>
            <u/>
            <sz val="9"/>
            <color indexed="81"/>
            <rFont val="Tahoma"/>
            <family val="2"/>
          </rPr>
          <t>WDFC, 10K, 8/31/22, pg. F-7</t>
        </r>
        <r>
          <rPr>
            <b/>
            <sz val="9"/>
            <color indexed="81"/>
            <rFont val="Tahoma"/>
            <family val="2"/>
          </rPr>
          <t xml:space="preserve">:
</t>
        </r>
        <r>
          <rPr>
            <sz val="9"/>
            <color indexed="81"/>
            <rFont val="Tahoma"/>
            <family val="2"/>
          </rPr>
          <t>"Depreciation and amortization" of $7,701 thousand</t>
        </r>
      </text>
    </comment>
    <comment ref="J24" authorId="4" shapeId="0" xr:uid="{1CF4A15C-6B16-4245-94AF-3C0A0B40F1FD}">
      <text>
        <r>
          <rPr>
            <b/>
            <sz val="9"/>
            <color indexed="81"/>
            <rFont val="Tahoma"/>
            <family val="2"/>
          </rPr>
          <t>Kenneth Freeman:</t>
        </r>
        <r>
          <rPr>
            <sz val="9"/>
            <color indexed="81"/>
            <rFont val="Tahoma"/>
            <family val="2"/>
          </rPr>
          <t xml:space="preserve">
</t>
        </r>
        <r>
          <rPr>
            <b/>
            <u/>
            <sz val="9"/>
            <color indexed="81"/>
            <rFont val="Tahoma"/>
            <family val="2"/>
          </rPr>
          <t>WDFC, 10K, 8/31/23, pg. F-7</t>
        </r>
        <r>
          <rPr>
            <b/>
            <sz val="9"/>
            <color indexed="81"/>
            <rFont val="Tahoma"/>
            <family val="2"/>
          </rPr>
          <t>:</t>
        </r>
        <r>
          <rPr>
            <sz val="9"/>
            <color indexed="81"/>
            <rFont val="Tahoma"/>
            <family val="2"/>
          </rPr>
          <t xml:space="preserve">
"Depreciation and amortization" of $7,019 thousand</t>
        </r>
      </text>
    </comment>
    <comment ref="K24" authorId="5" shapeId="0" xr:uid="{81705F70-2E17-47EA-B93D-17CF9F248C64}">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"Depreciation and amortization" of $8,294 thousand</t>
        </r>
      </text>
    </comment>
    <comment ref="L24" authorId="5" shapeId="0" xr:uid="{5DA11375-061F-400A-B311-F389AE1D16F5}">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"Depreciation and amortization" of $8,151 thousand</t>
        </r>
      </text>
    </comment>
    <comment ref="M24" authorId="5" shapeId="0" xr:uid="{5EBE7C7C-C37A-44D5-86B2-8F2276607CB3}">
      <text>
        <r>
          <rPr>
            <b/>
            <sz val="9"/>
            <color indexed="81"/>
            <rFont val="Tahoma"/>
            <family val="2"/>
          </rPr>
          <t>Ken Freeman, CFA:</t>
        </r>
        <r>
          <rPr>
            <sz val="9"/>
            <color indexed="81"/>
            <rFont val="Tahoma"/>
            <family val="2"/>
          </rPr>
          <t xml:space="preserve">
</t>
        </r>
        <r>
          <rPr>
            <b/>
            <u/>
            <sz val="9"/>
            <color indexed="81"/>
            <rFont val="Tahoma"/>
            <family val="2"/>
          </rPr>
          <t>WDFC, 10K, 8/31/24, pg. F-7</t>
        </r>
        <r>
          <rPr>
            <b/>
            <sz val="9"/>
            <color indexed="81"/>
            <rFont val="Tahoma"/>
            <family val="2"/>
          </rPr>
          <t>:</t>
        </r>
        <r>
          <rPr>
            <sz val="9"/>
            <color indexed="81"/>
            <rFont val="Tahoma"/>
            <family val="2"/>
          </rPr>
          <t xml:space="preserve">
"Depreciation and amortization" of $9,456 thousand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Freeman, Ken</author>
    <author>Ken</author>
    <author>Ken Freeman, CFA</author>
  </authors>
  <commentList>
    <comment ref="G25" authorId="0" shapeId="0" xr:uid="{7D942FD7-5383-4073-99F3-2CA297BDD332}">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
"</t>
        </r>
        <r>
          <rPr>
            <sz val="9"/>
            <color indexed="81"/>
            <rFont val="Tahoma"/>
            <family val="2"/>
          </rPr>
          <t>Revolving credit facility, short-term" of $20,000 thousand
"Revolving credit facility, autoborrow feature" of $2,800 thousand 
"Series A Notes, current portion of long-term debt" of $800 thousand</t>
        </r>
      </text>
    </comment>
    <comment ref="H25" authorId="0" shapeId="0" xr:uid="{7AEFC503-C53A-4731-BDDD-510C8085C62F}">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
"</t>
        </r>
        <r>
          <rPr>
            <sz val="9"/>
            <color indexed="81"/>
            <rFont val="Tahoma"/>
            <family val="2"/>
          </rPr>
          <t>Revolving credit facility, short-term" of $20,000 thousand
"Revolving credit facility, autoborrow feature" of $405 thousand 
"Series A Notes, current portion of long-term debt" of $800 thousand</t>
        </r>
      </text>
    </comment>
    <comment ref="G26" authorId="0" shapeId="0" xr:uid="{950CA61B-C859-415F-9B97-C9FC3668738A}">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
"</t>
        </r>
        <r>
          <rPr>
            <sz val="9"/>
            <color indexed="81"/>
            <rFont val="Tahoma"/>
            <family val="2"/>
          </rPr>
          <t>Revolving credit facility, short-term" of $20,000 thousand
"Revolving credit facility, autoborrow feature" of $2,800 thousand 
"Series A Notes, current portion of long-term debt" of $800 thousand</t>
        </r>
      </text>
    </comment>
    <comment ref="H26" authorId="0" shapeId="0" xr:uid="{9B31F9F3-5802-469C-AA0D-0EF807FA8D92}">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
"</t>
        </r>
        <r>
          <rPr>
            <sz val="9"/>
            <color indexed="81"/>
            <rFont val="Tahoma"/>
            <family val="2"/>
          </rPr>
          <t>Revolving credit facility, short-term" of $20,000 thousand
"Revolving credit facility, autoborrow feature" of $405 thousand 
"Series A Notes, current portion of long-term debt" of $800 thousand</t>
        </r>
      </text>
    </comment>
    <comment ref="I26" authorId="0" shapeId="0" xr:uid="{B151A469-7066-49E6-A7E5-BC384C231B7B}">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"Series A Notes, current portion of long-term debt" of $800 thousand</t>
        </r>
      </text>
    </comment>
    <comment ref="J26" authorId="0" shapeId="0" xr:uid="{FEBFF047-D3E8-48EF-8288-AFDEB001CE01}">
      <text>
        <r>
          <rPr>
            <b/>
            <sz val="9"/>
            <color indexed="81"/>
            <rFont val="Tahoma"/>
            <family val="2"/>
          </rPr>
          <t>Freeman, Ken:</t>
        </r>
        <r>
          <rPr>
            <sz val="9"/>
            <color indexed="81"/>
            <rFont val="Tahoma"/>
            <family val="2"/>
          </rPr>
          <t xml:space="preserve">
</t>
        </r>
        <r>
          <rPr>
            <b/>
            <u/>
            <sz val="9"/>
            <color indexed="81"/>
            <rFont val="Tahoma"/>
            <family val="2"/>
          </rPr>
          <t>WDFC, 10K, 8/31/21, pg. F-18</t>
        </r>
        <r>
          <rPr>
            <b/>
            <sz val="9"/>
            <color indexed="81"/>
            <rFont val="Tahoma"/>
            <family val="2"/>
          </rPr>
          <t>:</t>
        </r>
        <r>
          <rPr>
            <sz val="9"/>
            <color indexed="81"/>
            <rFont val="Tahoma"/>
            <family val="2"/>
          </rPr>
          <t xml:space="preserve">
"Series A Notes, current portion of long-term debt" of $800 thousand</t>
        </r>
      </text>
    </comment>
    <comment ref="G30" authorId="0" shapeId="0" xr:uid="{C1A6690D-02D5-4ECD-8C25-AE4487D853CC}">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t>
        </r>
        <r>
          <rPr>
            <sz val="9"/>
            <color indexed="81"/>
            <rFont val="Tahoma"/>
            <family val="2"/>
          </rPr>
          <t xml:space="preserve">
"Revolving credit facility" of $44,000 thousand
"Series A Notes" of $18,800 thousand</t>
        </r>
      </text>
    </comment>
    <comment ref="H30" authorId="0" shapeId="0" xr:uid="{65D36C76-C1D2-4DF8-9DDD-CCA00E572F0F}">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$42,221 thousand
"Series A Notes" of $18,000 thousand</t>
        </r>
      </text>
    </comment>
    <comment ref="I30" authorId="0" shapeId="0" xr:uid="{AC3EB021-414D-4C39-9C52-2F0EA1D8605C}">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$95,898 thousand
"Series A Notes" of $17,200 thousand</t>
        </r>
      </text>
    </comment>
    <comment ref="J30" authorId="0" shapeId="0" xr:uid="{98D07E53-8567-4E92-A6E6-34512FFC2B28}">
      <text>
        <r>
          <rPr>
            <b/>
            <sz val="9"/>
            <color indexed="81"/>
            <rFont val="Tahoma"/>
            <family val="2"/>
          </rPr>
          <t>Freeman, Ken:</t>
        </r>
        <r>
          <rPr>
            <sz val="9"/>
            <color indexed="81"/>
            <rFont val="Tahoma"/>
            <family val="2"/>
          </rPr>
          <t xml:space="preserve">
</t>
        </r>
        <r>
          <rPr>
            <b/>
            <u/>
            <sz val="9"/>
            <color indexed="81"/>
            <rFont val="Tahoma"/>
            <family val="2"/>
          </rPr>
          <t>WDFC, 10K, 8/31/21, pg. F-18</t>
        </r>
        <r>
          <rPr>
            <b/>
            <sz val="9"/>
            <color indexed="81"/>
            <rFont val="Tahoma"/>
            <family val="2"/>
          </rPr>
          <t>:</t>
        </r>
        <r>
          <rPr>
            <sz val="9"/>
            <color indexed="81"/>
            <rFont val="Tahoma"/>
            <family val="2"/>
          </rPr>
          <t xml:space="preserve">
"Revolving credit facility" of $46,540 thousand
</t>
        </r>
      </text>
    </comment>
    <comment ref="K30" authorId="0" shapeId="0" xr:uid="{E7991C68-6EDD-4F0B-9C63-7F9F1B6B85D7}">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"Credit Agreement - revolving credit facility" of $77,912 thousand
</t>
        </r>
      </text>
    </comment>
    <comment ref="L30" authorId="0" shapeId="0" xr:uid="{F0636A09-D113-43E1-A3D8-B4EA18D8FF37}">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"Credit Agreement - revolving credit facility" of $52,943 thousand</t>
        </r>
      </text>
    </comment>
    <comment ref="M30" authorId="0" shapeId="0" xr:uid="{D0E61D16-98EA-44BA-952D-EA64EC265CB1}">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"Credit Agreement - revolving credit facility" of $27,836 thousand</t>
        </r>
      </text>
    </comment>
    <comment ref="G31" authorId="0" shapeId="0" xr:uid="{1EAD0E89-3E2D-46E4-9FEC-7FD526F1E303}">
      <text>
        <r>
          <rPr>
            <b/>
            <sz val="9"/>
            <color indexed="81"/>
            <rFont val="Tahoma"/>
            <family val="2"/>
          </rPr>
          <t>Freeman, Ken:</t>
        </r>
        <r>
          <rPr>
            <sz val="9"/>
            <color indexed="81"/>
            <rFont val="Tahoma"/>
            <family val="2"/>
          </rPr>
          <t xml:space="preserve">
</t>
        </r>
        <r>
          <rPr>
            <b/>
            <u/>
            <sz val="9"/>
            <color indexed="81"/>
            <rFont val="Tahoma"/>
            <family val="2"/>
          </rPr>
          <t>WDFC, 10K, 8/31/19, pg. F-19</t>
        </r>
        <r>
          <rPr>
            <b/>
            <sz val="9"/>
            <color indexed="81"/>
            <rFont val="Tahoma"/>
            <family val="2"/>
          </rPr>
          <t>:</t>
        </r>
        <r>
          <rPr>
            <sz val="9"/>
            <color indexed="81"/>
            <rFont val="Tahoma"/>
            <family val="2"/>
          </rPr>
          <t xml:space="preserve">
"Revolving credit facility" of $44,000 thousand
"Series A Notes" of $18,800 thousand</t>
        </r>
      </text>
    </comment>
    <comment ref="H31" authorId="0" shapeId="0" xr:uid="{998B472F-ED2F-461D-87EE-048084502F4B}">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$42,221 thousand
"Series A Notes" of $18,000 thousand</t>
        </r>
      </text>
    </comment>
    <comment ref="I31" authorId="0" shapeId="0" xr:uid="{67E039ED-DC97-44A6-B73F-642D014E5A1C}">
      <text>
        <r>
          <rPr>
            <b/>
            <sz val="9"/>
            <color indexed="81"/>
            <rFont val="Tahoma"/>
            <family val="2"/>
          </rPr>
          <t>Freeman, Ken:</t>
        </r>
        <r>
          <rPr>
            <sz val="9"/>
            <color indexed="81"/>
            <rFont val="Tahoma"/>
            <family val="2"/>
          </rPr>
          <t xml:space="preserve">
</t>
        </r>
        <r>
          <rPr>
            <b/>
            <u/>
            <sz val="9"/>
            <color indexed="81"/>
            <rFont val="Tahoma"/>
            <family val="2"/>
          </rPr>
          <t>WDFC, 10K, 8/31/20, pg. F-20</t>
        </r>
        <r>
          <rPr>
            <b/>
            <sz val="9"/>
            <color indexed="81"/>
            <rFont val="Tahoma"/>
            <family val="2"/>
          </rPr>
          <t>:</t>
        </r>
        <r>
          <rPr>
            <sz val="9"/>
            <color indexed="81"/>
            <rFont val="Tahoma"/>
            <family val="2"/>
          </rPr>
          <t xml:space="preserve">
"Revolving credit facility" of $95,898 thousand
"Series A Notes" of $17,200 thousand</t>
        </r>
      </text>
    </comment>
    <comment ref="J31" authorId="0" shapeId="0" xr:uid="{76CD6EF2-6FA4-4D02-8CFD-444D44C8FD7C}">
      <text>
        <r>
          <rPr>
            <b/>
            <sz val="9"/>
            <color indexed="81"/>
            <rFont val="Tahoma"/>
            <family val="2"/>
          </rPr>
          <t>Freeman, Ken:</t>
        </r>
        <r>
          <rPr>
            <sz val="9"/>
            <color indexed="81"/>
            <rFont val="Tahoma"/>
            <family val="2"/>
          </rPr>
          <t xml:space="preserve">
</t>
        </r>
        <r>
          <rPr>
            <b/>
            <u/>
            <sz val="9"/>
            <color indexed="81"/>
            <rFont val="Tahoma"/>
            <family val="2"/>
          </rPr>
          <t>WDFC, 10K, 8/31/21, pg. F-18</t>
        </r>
        <r>
          <rPr>
            <b/>
            <sz val="9"/>
            <color indexed="81"/>
            <rFont val="Tahoma"/>
            <family val="2"/>
          </rPr>
          <t>:</t>
        </r>
        <r>
          <rPr>
            <sz val="9"/>
            <color indexed="81"/>
            <rFont val="Tahoma"/>
            <family val="2"/>
          </rPr>
          <t xml:space="preserve">
"Series A Notes - 3.39% fixed rate" of $17,200 thousand (less current portion of 800) +
"Series B Notes - 2.50% fixed rate" of $26,000 +
"Series C Notes - 2.69% fixed rate" of $26,000</t>
        </r>
      </text>
    </comment>
    <comment ref="K31" authorId="0" shapeId="0" xr:uid="{F77E31EF-6EDA-48D6-B421-F01276D4B141}">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"Series A Notes - 3.39% fixed rate" of $16,400 thousand</t>
        </r>
      </text>
    </comment>
    <comment ref="L31" authorId="0" shapeId="0" xr:uid="{87CA6F2E-5BBE-4C94-BAA3-30B5B746FA3F}">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A Notes - 3.39% fixed rate" of $15,600 thousand</t>
        </r>
      </text>
    </comment>
    <comment ref="M31" authorId="0" shapeId="0" xr:uid="{D6917C4B-BC08-4F98-827C-CD4CCD6644E9}">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"Series A Notes - 3.39% fixed rate" of $14,800 thousand</t>
        </r>
      </text>
    </comment>
    <comment ref="K32" authorId="0" shapeId="0" xr:uid="{2FAA28BF-48BC-4BE1-8713-7DA22ED799B4}">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"Series B Notes - 2.50% fixed rate" of $26,000</t>
        </r>
      </text>
    </comment>
    <comment ref="L32" authorId="0" shapeId="0" xr:uid="{686D75C0-61E0-403C-9D18-616D27A9A8A4}">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B Notes - 2.50% fixed rate" of $26,000</t>
        </r>
      </text>
    </comment>
    <comment ref="M32" authorId="0" shapeId="0" xr:uid="{A420F7DF-EF54-4536-87C6-1EE0FF9AF957}">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"Series B Notes - 2.50% fixed rate" of $26,000</t>
        </r>
      </text>
    </comment>
    <comment ref="K33" authorId="0" shapeId="0" xr:uid="{243703BD-3825-4D79-B473-2B4BA4DD9EF8}">
      <text>
        <r>
          <rPr>
            <b/>
            <sz val="9"/>
            <color indexed="81"/>
            <rFont val="Tahoma"/>
            <family val="2"/>
          </rPr>
          <t>Freeman, Ken:</t>
        </r>
        <r>
          <rPr>
            <sz val="9"/>
            <color indexed="81"/>
            <rFont val="Tahoma"/>
            <family val="2"/>
          </rPr>
          <t xml:space="preserve">
</t>
        </r>
        <r>
          <rPr>
            <b/>
            <u/>
            <sz val="9"/>
            <color indexed="81"/>
            <rFont val="Tahoma"/>
            <family val="2"/>
          </rPr>
          <t>WDFC, 10K, 8/31/22, pg. F-19</t>
        </r>
        <r>
          <rPr>
            <b/>
            <sz val="9"/>
            <color indexed="81"/>
            <rFont val="Tahoma"/>
            <family val="2"/>
          </rPr>
          <t>:</t>
        </r>
        <r>
          <rPr>
            <sz val="9"/>
            <color indexed="81"/>
            <rFont val="Tahoma"/>
            <family val="2"/>
          </rPr>
          <t xml:space="preserve">
"Series C Notes - 2.69% fixed rate" of $26,000</t>
        </r>
      </text>
    </comment>
    <comment ref="L33" authorId="0" shapeId="0" xr:uid="{D988E057-BD29-4073-A03C-3DF66C16D0C4}">
      <text>
        <r>
          <rPr>
            <b/>
            <sz val="9"/>
            <color indexed="81"/>
            <rFont val="Tahoma"/>
            <family val="2"/>
          </rPr>
          <t>Freeman, Ken: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C Notes - 2.69% fixed rate" of $26,000</t>
        </r>
      </text>
    </comment>
    <comment ref="M33" authorId="0" shapeId="0" xr:uid="{E5F7CC07-DA66-4EE0-BCC7-4691B0A5466E}">
      <text>
        <r>
          <rPr>
            <b/>
            <sz val="9"/>
            <color indexed="81"/>
            <rFont val="Tahoma"/>
            <family val="2"/>
          </rPr>
          <t>Freeman, Ken:</t>
        </r>
        <r>
          <rPr>
            <sz val="9"/>
            <color indexed="81"/>
            <rFont val="Tahoma"/>
            <family val="2"/>
          </rPr>
          <t xml:space="preserve">
</t>
        </r>
        <r>
          <rPr>
            <b/>
            <u/>
            <sz val="9"/>
            <color indexed="81"/>
            <rFont val="Tahoma"/>
            <family val="2"/>
          </rPr>
          <t>WDFC, 10K, 8/31/24, pg. F-22</t>
        </r>
        <r>
          <rPr>
            <b/>
            <sz val="9"/>
            <color indexed="81"/>
            <rFont val="Tahoma"/>
            <family val="2"/>
          </rPr>
          <t>:</t>
        </r>
        <r>
          <rPr>
            <sz val="9"/>
            <color indexed="81"/>
            <rFont val="Tahoma"/>
            <family val="2"/>
          </rPr>
          <t xml:space="preserve">
"Series C Notes - 2.69% fixed rate" of $26,000</t>
        </r>
      </text>
    </comment>
    <comment ref="C53" authorId="1" shapeId="0" xr:uid="{A4B8B04D-B738-469A-95FC-8C2A508FDC03}">
      <text>
        <r>
          <rPr>
            <b/>
            <sz val="9"/>
            <color indexed="81"/>
            <rFont val="Tahoma"/>
            <family val="2"/>
          </rPr>
          <t>Ken:</t>
        </r>
        <r>
          <rPr>
            <sz val="9"/>
            <color indexed="81"/>
            <rFont val="Tahoma"/>
            <family val="2"/>
          </rPr>
          <t xml:space="preserve">
8/29/14</t>
        </r>
      </text>
    </comment>
    <comment ref="M53" authorId="2" shapeId="0" xr:uid="{06BFEE76-FAFE-4D3E-B908-BFB7209BB147}">
      <text>
        <r>
          <rPr>
            <b/>
            <sz val="9"/>
            <color indexed="81"/>
            <rFont val="Tahoma"/>
            <family val="2"/>
          </rPr>
          <t>Ken Freeman, CFA:</t>
        </r>
        <r>
          <rPr>
            <sz val="9"/>
            <color indexed="81"/>
            <rFont val="Tahoma"/>
            <family val="2"/>
          </rPr>
          <t xml:space="preserve">
As of 8/30/24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Ken Freeman</author>
    <author>Ken Freeman, CFA</author>
    <author>Freeman, Ken</author>
    <author>RBS</author>
    <author>Kenneth Freeman</author>
  </authors>
  <commentList>
    <comment ref="J5" authorId="0" shapeId="0" xr:uid="{145DA9D8-31EA-4527-A2E3-6AECAAF7A1BC}">
      <text>
        <r>
          <rPr>
            <b/>
            <sz val="9"/>
            <color indexed="81"/>
            <rFont val="Tahoma"/>
            <family val="2"/>
          </rPr>
          <t>Ken Freeman:</t>
        </r>
        <r>
          <rPr>
            <sz val="9"/>
            <color indexed="81"/>
            <rFont val="Tahoma"/>
            <family val="2"/>
          </rPr>
          <t xml:space="preserve">
</t>
        </r>
        <r>
          <rPr>
            <b/>
            <u/>
            <sz val="9"/>
            <color indexed="81"/>
            <rFont val="Tahoma"/>
            <family val="2"/>
          </rPr>
          <t>WDFC, 10K, 8/31/24, pg. F-16</t>
        </r>
        <r>
          <rPr>
            <b/>
            <sz val="9"/>
            <color indexed="81"/>
            <rFont val="Tahoma"/>
            <family val="2"/>
          </rPr>
          <t xml:space="preserve">:
</t>
        </r>
        <r>
          <rPr>
            <sz val="9"/>
            <color indexed="81"/>
            <rFont val="Tahoma"/>
            <family val="2"/>
          </rPr>
          <t xml:space="preserve">"The Company does not currently grant stock options."
</t>
        </r>
        <r>
          <rPr>
            <b/>
            <u/>
            <sz val="9"/>
            <color indexed="81"/>
            <rFont val="Tahoma"/>
            <family val="2"/>
          </rPr>
          <t>WDFC, 10K, 8/31/23, pg. F-15</t>
        </r>
        <r>
          <rPr>
            <b/>
            <sz val="9"/>
            <color indexed="81"/>
            <rFont val="Tahoma"/>
            <family val="2"/>
          </rPr>
          <t>:</t>
        </r>
        <r>
          <rPr>
            <sz val="9"/>
            <color indexed="81"/>
            <rFont val="Tahoma"/>
            <family val="2"/>
          </rPr>
          <t xml:space="preserve">
"The Company does not currently grant stock options."
</t>
        </r>
        <r>
          <rPr>
            <b/>
            <u/>
            <sz val="9"/>
            <color indexed="81"/>
            <rFont val="Tahoma"/>
            <family val="2"/>
          </rPr>
          <t>WDFC, 10K, 8/31/22, pg. F-14</t>
        </r>
        <r>
          <rPr>
            <b/>
            <sz val="9"/>
            <color indexed="81"/>
            <rFont val="Tahoma"/>
            <family val="2"/>
          </rPr>
          <t>:</t>
        </r>
        <r>
          <rPr>
            <sz val="9"/>
            <color indexed="81"/>
            <rFont val="Tahoma"/>
            <family val="2"/>
          </rPr>
          <t xml:space="preserve">
"The Company does not currently grant stock options."
</t>
        </r>
        <r>
          <rPr>
            <b/>
            <u/>
            <sz val="9"/>
            <color indexed="81"/>
            <rFont val="Tahoma"/>
            <family val="2"/>
          </rPr>
          <t>WDFC, 10K, 8/31/21, pg. F-13</t>
        </r>
        <r>
          <rPr>
            <b/>
            <sz val="9"/>
            <color indexed="81"/>
            <rFont val="Tahoma"/>
            <family val="2"/>
          </rPr>
          <t>:</t>
        </r>
        <r>
          <rPr>
            <sz val="9"/>
            <color indexed="81"/>
            <rFont val="Tahoma"/>
            <family val="2"/>
          </rPr>
          <t xml:space="preserve">
"The Company does not currently grant stock options."
</t>
        </r>
        <r>
          <rPr>
            <b/>
            <u/>
            <sz val="9"/>
            <color indexed="81"/>
            <rFont val="Tahoma"/>
            <family val="2"/>
          </rPr>
          <t>WDFC, 10K, 8/31/20, pg. F-13</t>
        </r>
        <r>
          <rPr>
            <b/>
            <sz val="9"/>
            <color indexed="81"/>
            <rFont val="Tahoma"/>
            <family val="2"/>
          </rPr>
          <t>:
"</t>
        </r>
        <r>
          <rPr>
            <sz val="9"/>
            <color indexed="81"/>
            <rFont val="Tahoma"/>
            <family val="2"/>
          </rPr>
          <t>The Company does not currently grant stock options and the last outstanding stock options were settled in the first quarter of fiscal year 2018"</t>
        </r>
      </text>
    </comment>
    <comment ref="L5" authorId="1" shapeId="0" xr:uid="{C2512971-4089-4E7E-B4CB-40E3D7560415}">
      <text>
        <r>
          <rPr>
            <b/>
            <sz val="9"/>
            <color indexed="81"/>
            <rFont val="Tahoma"/>
            <family val="2"/>
          </rPr>
          <t>Ken Freeman, CFA:</t>
        </r>
        <r>
          <rPr>
            <sz val="9"/>
            <color indexed="81"/>
            <rFont val="Tahoma"/>
            <family val="2"/>
          </rPr>
          <t xml:space="preserve">
</t>
        </r>
        <r>
          <rPr>
            <b/>
            <u/>
            <sz val="9"/>
            <color indexed="81"/>
            <rFont val="Tahoma"/>
            <family val="2"/>
          </rPr>
          <t>WDFC, 10Q, 11/30/24, cover page</t>
        </r>
        <r>
          <rPr>
            <b/>
            <sz val="9"/>
            <color indexed="81"/>
            <rFont val="Tahoma"/>
            <family val="2"/>
          </rPr>
          <t xml:space="preserve">:
</t>
        </r>
        <r>
          <rPr>
            <sz val="9"/>
            <color indexed="81"/>
            <rFont val="Tahoma"/>
            <family val="2"/>
          </rPr>
          <t>"The number of outstanding shares of the registrant’s common stock, par value $0.001 per share, as of January 6, 2025 was 13,546,239"</t>
        </r>
      </text>
    </comment>
    <comment ref="A8" authorId="1" shapeId="0" xr:uid="{8FA809D9-F33D-4F2A-BAEE-D0D93FB1313F}">
      <text>
        <r>
          <rPr>
            <b/>
            <sz val="9"/>
            <color indexed="81"/>
            <rFont val="Tahoma"/>
            <family val="2"/>
          </rPr>
          <t>Ken Freeman, CFA:</t>
        </r>
        <r>
          <rPr>
            <sz val="9"/>
            <color indexed="81"/>
            <rFont val="Tahoma"/>
            <family val="2"/>
          </rPr>
          <t xml:space="preserve">
Added spread of 0.45% based on implied credit rating of AAA from Damodaran Credit Spread Analysis</t>
        </r>
      </text>
    </comment>
    <comment ref="F8" authorId="2" shapeId="0" xr:uid="{114EE682-DCA9-4A6C-B702-127508005212}">
      <text>
        <r>
          <rPr>
            <b/>
            <sz val="9"/>
            <color indexed="81"/>
            <rFont val="Tahoma"/>
            <family val="2"/>
          </rPr>
          <t>Freeman, Ken:</t>
        </r>
        <r>
          <rPr>
            <sz val="9"/>
            <color indexed="81"/>
            <rFont val="Tahoma"/>
            <family val="2"/>
          </rPr>
          <t xml:space="preserve">
5-year (FVX) = 4.08%; 5-year model
</t>
        </r>
        <r>
          <rPr>
            <b/>
            <i/>
            <sz val="9"/>
            <color indexed="81"/>
            <rFont val="Tahoma"/>
            <family val="2"/>
          </rPr>
          <t>Source: Yahoo! Finance as of mkt close 3/14/25</t>
        </r>
        <r>
          <rPr>
            <sz val="9"/>
            <color indexed="81"/>
            <rFont val="Tahoma"/>
            <family val="2"/>
          </rPr>
          <t xml:space="preserve">
</t>
        </r>
      </text>
    </comment>
    <comment ref="G8" authorId="2" shapeId="0" xr:uid="{AAA1DBBF-2EB7-403F-98DA-98063607C508}">
      <text>
        <r>
          <rPr>
            <b/>
            <sz val="9"/>
            <color indexed="81"/>
            <rFont val="Tahoma"/>
            <family val="2"/>
          </rPr>
          <t>Ken Freeman, CFA:</t>
        </r>
        <r>
          <rPr>
            <sz val="9"/>
            <color indexed="81"/>
            <rFont val="Tahoma"/>
            <family val="2"/>
          </rPr>
          <t xml:space="preserve">
Yahoo! Finance = (0.11)
Zacks Research = NA
Marketwatch = 0.56
GuruFocus.com = 0.22
Finviz.com = 0.03
10-year std dev OCF / 10 yr average OCF is 0.41
Yahoo! 10 year average Beta = 0.09
Went with 0.56 to be conservative</t>
        </r>
      </text>
    </comment>
    <comment ref="H8" authorId="3" shapeId="0" xr:uid="{D253F670-CDDD-4BE5-B276-34C46EEF76C7}">
      <text>
        <r>
          <rPr>
            <b/>
            <sz val="9"/>
            <color indexed="81"/>
            <rFont val="Tahoma"/>
            <family val="2"/>
          </rPr>
          <t xml:space="preserve">Ken Freeman, CFA:
Source: </t>
        </r>
        <r>
          <rPr>
            <sz val="9"/>
            <color indexed="81"/>
            <rFont val="Tahoma"/>
            <family val="2"/>
          </rPr>
          <t xml:space="preserve">Damodaran 4.12%
http://pages.stern.nyu.edu/~adamodar/
"Implied ERP on March 1, 2025 = 4.12%"
</t>
        </r>
      </text>
    </comment>
    <comment ref="M9" authorId="4" shapeId="0" xr:uid="{A5057D06-DA60-4DC1-875F-06ED3CDA099F}">
      <text>
        <r>
          <rPr>
            <b/>
            <sz val="9"/>
            <color indexed="81"/>
            <rFont val="Tahoma"/>
            <family val="2"/>
          </rPr>
          <t>Kenneth Freeman:</t>
        </r>
        <r>
          <rPr>
            <sz val="9"/>
            <color indexed="81"/>
            <rFont val="Tahoma"/>
            <family val="2"/>
          </rPr>
          <t xml:space="preserve">
</t>
        </r>
        <r>
          <rPr>
            <b/>
            <u/>
            <sz val="9"/>
            <color indexed="81"/>
            <rFont val="Tahoma"/>
            <family val="2"/>
          </rPr>
          <t>WDFC, 8K, 4/30/24, pg. 12 of 120 of pdf</t>
        </r>
        <r>
          <rPr>
            <b/>
            <sz val="9"/>
            <color indexed="81"/>
            <rFont val="Tahoma"/>
            <family val="2"/>
          </rPr>
          <t xml:space="preserve">:
</t>
        </r>
        <r>
          <rPr>
            <sz val="9"/>
            <color indexed="81"/>
            <rFont val="Tahoma"/>
            <family val="2"/>
          </rPr>
          <t>Consolidated leverage ratio &lt; 1.00 (Debt/EBITDA)
This implies a spread of 1.00% +
SOFR for 8/31/24 is 5.40%
Source: https://www.newyorkfed.org/markets/reference-rates/sofr-averages-and-index</t>
        </r>
      </text>
    </comment>
    <comment ref="M10" authorId="4" shapeId="0" xr:uid="{B5BD79B5-9230-4C33-97BD-AE30BC8212F6}">
      <text>
        <r>
          <rPr>
            <b/>
            <sz val="9"/>
            <color indexed="81"/>
            <rFont val="Tahoma"/>
            <family val="2"/>
          </rPr>
          <t>Kenneth Freeman: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A Notes – 3.39% fixed rate (2)
(2) "Principal payments are required semi-annually in May and November of each year in equal installments of $0.4 million through May 15, 2032, resulting in $0.8 million classified as short-term.  The remaining outstanding principal in the amount of $8.4 million will become due on November 15, 2032."</t>
        </r>
      </text>
    </comment>
    <comment ref="M11" authorId="4" shapeId="0" xr:uid="{1464141E-A543-4F8A-9911-DCD71778AA98}">
      <text>
        <r>
          <rPr>
            <b/>
            <sz val="9"/>
            <color indexed="81"/>
            <rFont val="Tahoma"/>
            <family val="2"/>
          </rPr>
          <t>Kenneth Freeman: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B Notes – 2.50% fixed rate (3)
(3) "Interest on notes is payable semi-annually in May and November of each year with no principal due until the maturity date." DUE 11/15/27</t>
        </r>
      </text>
    </comment>
    <comment ref="C12" authorId="2" shapeId="0" xr:uid="{AA6680E8-6AA0-4ADA-8E58-E20D01DD54BF}">
      <text>
        <r>
          <rPr>
            <b/>
            <sz val="9"/>
            <color indexed="81"/>
            <rFont val="Tahoma"/>
            <family val="2"/>
          </rPr>
          <t>Ken Freeman, CFA:</t>
        </r>
        <r>
          <rPr>
            <sz val="9"/>
            <color indexed="81"/>
            <rFont val="Tahoma"/>
            <family val="2"/>
          </rPr>
          <t xml:space="preserve">
3 yr avg = 4.0%
5 yr avg = 3.8%
7 yr avg = 3.7%
10 yr avg = 5.0%
MIN = 2.6%  MAX = 9.1%
Mid-point of Min / Max is approx. 5.8% so, went with 6%</t>
        </r>
      </text>
    </comment>
    <comment ref="M12" authorId="4" shapeId="0" xr:uid="{73643065-C81A-43FE-812E-02F9D854BCD9}">
      <text>
        <r>
          <rPr>
            <b/>
            <sz val="9"/>
            <color indexed="81"/>
            <rFont val="Tahoma"/>
            <family val="2"/>
          </rPr>
          <t>Kenneth Freeman:</t>
        </r>
        <r>
          <rPr>
            <sz val="9"/>
            <color indexed="81"/>
            <rFont val="Tahoma"/>
            <family val="2"/>
          </rPr>
          <t xml:space="preserve">
</t>
        </r>
        <r>
          <rPr>
            <b/>
            <u/>
            <sz val="9"/>
            <color indexed="81"/>
            <rFont val="Tahoma"/>
            <family val="2"/>
          </rPr>
          <t>WDFC, 10K, 8/31/23, pg. F-20</t>
        </r>
        <r>
          <rPr>
            <b/>
            <sz val="9"/>
            <color indexed="81"/>
            <rFont val="Tahoma"/>
            <family val="2"/>
          </rPr>
          <t>:</t>
        </r>
        <r>
          <rPr>
            <sz val="9"/>
            <color indexed="81"/>
            <rFont val="Tahoma"/>
            <family val="2"/>
          </rPr>
          <t xml:space="preserve">
Series C Notes – 2.69% fixed rate (3)
(3) "Interest on notes is payable semi-annually in May and November of each year with no principal due until the maturity date." DUE 11/15/30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B2E789C9-982C-4F17-ABB4-CBAC3D3190D9}">
      <text>
        <r>
          <rPr>
            <b/>
            <sz val="9"/>
            <color indexed="8"/>
            <rFont val="Geneva"/>
            <family val="2"/>
            <charset val="1"/>
          </rPr>
          <t>Aswath Damodaran:</t>
        </r>
        <r>
          <rPr>
            <sz val="9"/>
            <color indexed="8"/>
            <rFont val="Geneva"/>
            <family val="2"/>
            <charset val="1"/>
          </rPr>
          <t xml:space="preserve">
</t>
        </r>
        <r>
          <rPr>
            <sz val="9"/>
            <color indexed="8"/>
            <rFont val="Geneva"/>
            <family val="2"/>
            <charset val="1"/>
          </rPr>
          <t>If yes, fill in the attached worksheet on operating leases</t>
        </r>
      </text>
    </comment>
    <comment ref="F6" authorId="0" shapeId="0" xr:uid="{AE029625-0BC5-404E-80AE-4D96329DC05A}">
      <text>
        <r>
          <rPr>
            <b/>
            <sz val="9"/>
            <color indexed="8"/>
            <rFont val="Geneva"/>
            <family val="2"/>
            <charset val="1"/>
          </rPr>
          <t>Aswath Damodaran:</t>
        </r>
        <r>
          <rPr>
            <sz val="9"/>
            <color indexed="8"/>
            <rFont val="Geneva"/>
            <family val="2"/>
            <charset val="1"/>
          </rPr>
          <t xml:space="preserve">
</t>
        </r>
        <r>
          <rPr>
            <sz val="9"/>
            <color indexed="8"/>
            <rFont val="Geneva"/>
            <family val="2"/>
            <charset val="1"/>
          </rPr>
          <t xml:space="preserve">If your most recent year's operating income is unusually low or high, you can use the average operating income from the last few years. </t>
        </r>
      </text>
    </comment>
    <comment ref="F7" authorId="0" shapeId="0" xr:uid="{F14FD915-387E-4C75-8DDB-572EE3F64058}">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8" authorId="0" shapeId="0" xr:uid="{09DB7FF8-6C7D-48F2-A1AF-8090191F8C30}">
      <text>
        <r>
          <rPr>
            <b/>
            <sz val="9"/>
            <color indexed="8"/>
            <rFont val="Geneva"/>
            <family val="2"/>
            <charset val="1"/>
          </rPr>
          <t>Aswath Damodaran:</t>
        </r>
        <r>
          <rPr>
            <sz val="9"/>
            <color indexed="8"/>
            <rFont val="Geneva"/>
            <family val="2"/>
            <charset val="1"/>
          </rPr>
          <t xml:space="preserve">
</t>
        </r>
        <r>
          <rPr>
            <sz val="9"/>
            <color indexed="8"/>
            <rFont val="Geneva"/>
            <family val="2"/>
            <charset val="1"/>
          </rPr>
          <t>I use a 10 year government bond rate.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Freeman, Ken</author>
    <author>Ken</author>
    <author>Kenneth Freeman</author>
  </authors>
  <commentList>
    <comment ref="D59" authorId="0" shapeId="0" xr:uid="{B150C63E-606E-4D11-85A8-65325F2AF317}">
      <text>
        <r>
          <rPr>
            <b/>
            <sz val="9"/>
            <color indexed="81"/>
            <rFont val="Tahoma"/>
            <family val="2"/>
          </rPr>
          <t>Freeman, Ken:</t>
        </r>
        <r>
          <rPr>
            <sz val="9"/>
            <color indexed="81"/>
            <rFont val="Tahoma"/>
            <family val="2"/>
          </rPr>
          <t xml:space="preserve">
</t>
        </r>
        <r>
          <rPr>
            <b/>
            <u/>
            <sz val="9"/>
            <color indexed="81"/>
            <rFont val="Tahoma"/>
            <family val="2"/>
          </rPr>
          <t>WDFC, 10K, 8/31/20, pg. F-15</t>
        </r>
        <r>
          <rPr>
            <b/>
            <sz val="9"/>
            <color indexed="81"/>
            <rFont val="Tahoma"/>
            <family val="2"/>
          </rPr>
          <t>:</t>
        </r>
        <r>
          <rPr>
            <sz val="9"/>
            <color indexed="81"/>
            <rFont val="Tahoma"/>
            <family val="2"/>
          </rPr>
          <t xml:space="preserve">
"The discounted cash flow methodology also requires management to make assumptions about certain key inputs in the estimated cash flows, including long-term sales forecasts or growth rates, terminal growth rates and discount rates, all of which are inherently uncertain. </t>
        </r>
        <r>
          <rPr>
            <b/>
            <u/>
            <sz val="9"/>
            <color indexed="81"/>
            <rFont val="Tahoma"/>
            <family val="2"/>
          </rPr>
          <t>The Company determined that a discount rate of 7% and a terminal growth rate of 2% was appropriate to use in the analysis for all of its reporting units</t>
        </r>
        <r>
          <rPr>
            <b/>
            <i/>
            <u/>
            <sz val="9"/>
            <color indexed="81"/>
            <rFont val="Tahoma"/>
            <family val="2"/>
          </rPr>
          <t>.</t>
        </r>
      </text>
    </comment>
    <comment ref="C73" authorId="1" shapeId="0" xr:uid="{31512AD8-C034-4A0F-892A-13C621BEA6E9}">
      <text>
        <r>
          <rPr>
            <b/>
            <sz val="9"/>
            <color indexed="81"/>
            <rFont val="Tahoma"/>
            <family val="2"/>
          </rPr>
          <t>Ken:</t>
        </r>
        <r>
          <rPr>
            <sz val="9"/>
            <color indexed="81"/>
            <rFont val="Tahoma"/>
            <family val="2"/>
          </rPr>
          <t xml:space="preserve">
</t>
        </r>
        <r>
          <rPr>
            <b/>
            <u/>
            <sz val="9"/>
            <color indexed="81"/>
            <rFont val="Tahoma"/>
            <family val="2"/>
          </rPr>
          <t>WDFC, 10Q, 11/30/24, pg. 3</t>
        </r>
        <r>
          <rPr>
            <b/>
            <sz val="9"/>
            <color indexed="81"/>
            <rFont val="Tahoma"/>
            <family val="2"/>
          </rPr>
          <t>:</t>
        </r>
        <r>
          <rPr>
            <sz val="9"/>
            <color indexed="81"/>
            <rFont val="Tahoma"/>
            <family val="2"/>
          </rPr>
          <t xml:space="preserve">
"Short-term borrowings" of $23,429 thousand</t>
        </r>
      </text>
    </comment>
    <comment ref="C74" authorId="1" shapeId="0" xr:uid="{1CAAF767-5955-4C41-9FD4-A36B7E606115}">
      <text>
        <r>
          <rPr>
            <b/>
            <sz val="9"/>
            <color indexed="81"/>
            <rFont val="Tahoma"/>
            <family val="2"/>
          </rPr>
          <t>Ken:</t>
        </r>
        <r>
          <rPr>
            <sz val="9"/>
            <color indexed="81"/>
            <rFont val="Tahoma"/>
            <family val="2"/>
          </rPr>
          <t xml:space="preserve">
</t>
        </r>
        <r>
          <rPr>
            <b/>
            <u/>
            <sz val="9"/>
            <color indexed="81"/>
            <rFont val="Tahoma"/>
            <family val="2"/>
          </rPr>
          <t>WDFC, 10Q, 11/30/24, pg. 3</t>
        </r>
        <r>
          <rPr>
            <b/>
            <sz val="9"/>
            <color indexed="81"/>
            <rFont val="Tahoma"/>
            <family val="2"/>
          </rPr>
          <t>:</t>
        </r>
        <r>
          <rPr>
            <sz val="9"/>
            <color indexed="81"/>
            <rFont val="Tahoma"/>
            <family val="2"/>
          </rPr>
          <t xml:space="preserve">
"Long-term borrowings" of $84,552 thousand
</t>
        </r>
      </text>
    </comment>
    <comment ref="C77" authorId="1" shapeId="0" xr:uid="{B200C6DF-6375-46FC-A59E-069B2C074ABB}">
      <text>
        <r>
          <rPr>
            <b/>
            <sz val="9"/>
            <color indexed="81"/>
            <rFont val="Tahoma"/>
            <family val="2"/>
          </rPr>
          <t>Ken:</t>
        </r>
        <r>
          <rPr>
            <sz val="9"/>
            <color indexed="81"/>
            <rFont val="Tahoma"/>
            <family val="2"/>
          </rPr>
          <t xml:space="preserve">
</t>
        </r>
        <r>
          <rPr>
            <b/>
            <u/>
            <sz val="9"/>
            <color indexed="81"/>
            <rFont val="Tahoma"/>
            <family val="2"/>
          </rPr>
          <t>WDFC, 10Q, 11/30/24, pg. 3</t>
        </r>
        <r>
          <rPr>
            <b/>
            <sz val="9"/>
            <color indexed="81"/>
            <rFont val="Tahoma"/>
            <family val="2"/>
          </rPr>
          <t>:</t>
        </r>
        <r>
          <rPr>
            <sz val="9"/>
            <color indexed="81"/>
            <rFont val="Tahoma"/>
            <family val="2"/>
          </rPr>
          <t xml:space="preserve">
"Cash and cash equivalents" of $54,914 thousand</t>
        </r>
      </text>
    </comment>
    <comment ref="C99" authorId="2" shapeId="0" xr:uid="{3FFD99DF-FF58-41EE-889C-76C4E6ED2941}">
      <text>
        <r>
          <rPr>
            <b/>
            <sz val="9"/>
            <color indexed="81"/>
            <rFont val="Tahoma"/>
            <family val="2"/>
          </rPr>
          <t>Kenneth Freeman:</t>
        </r>
        <r>
          <rPr>
            <sz val="9"/>
            <color indexed="81"/>
            <rFont val="Tahoma"/>
            <family val="2"/>
          </rPr>
          <t xml:space="preserve">
Yahoo! Finance 4/11/25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32" authorId="0" shapeId="0" xr:uid="{7070B9F6-6098-438B-9C6E-A6A91CD7D4E3}">
      <text>
        <r>
          <rPr>
            <b/>
            <sz val="9"/>
            <color indexed="81"/>
            <rFont val="Geneva"/>
            <family val="2"/>
            <charset val="1"/>
          </rPr>
          <t>Aswath Damodaran:</t>
        </r>
        <r>
          <rPr>
            <sz val="9"/>
            <color indexed="81"/>
            <rFont val="Geneva"/>
            <family val="2"/>
            <charset val="1"/>
          </rPr>
          <t xml:space="preserve">
I have used an approximation here. If you want to see the more complete adjustment, see below.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Ken Freeman, CFA</author>
    <author>Freeman, Ken</author>
    <author>Ken</author>
  </authors>
  <commentList>
    <comment ref="B9" authorId="0" shapeId="0" xr:uid="{89319432-3050-4B01-8D14-949E1BDAECA1}">
      <text>
        <r>
          <rPr>
            <b/>
            <sz val="9"/>
            <color indexed="81"/>
            <rFont val="Tahoma"/>
            <family val="2"/>
          </rPr>
          <t>Ken Freeman, CFA:</t>
        </r>
        <r>
          <rPr>
            <sz val="9"/>
            <color indexed="81"/>
            <rFont val="Tahoma"/>
            <family val="2"/>
          </rPr>
          <t xml:space="preserve">
</t>
        </r>
        <r>
          <rPr>
            <b/>
            <u/>
            <sz val="9"/>
            <color indexed="81"/>
            <rFont val="Tahoma"/>
            <family val="2"/>
          </rPr>
          <t>WDFC, 10Q, 11/30/24, cover page</t>
        </r>
        <r>
          <rPr>
            <b/>
            <sz val="9"/>
            <color indexed="81"/>
            <rFont val="Tahoma"/>
            <family val="2"/>
          </rPr>
          <t xml:space="preserve">:
</t>
        </r>
        <r>
          <rPr>
            <sz val="9"/>
            <color indexed="81"/>
            <rFont val="Tahoma"/>
            <family val="2"/>
          </rPr>
          <t>"The number of outstanding shares of the registrant’s common stock, par value $0.001 per share, as of January 6, 2025 was 13,546,239"</t>
        </r>
      </text>
    </comment>
    <comment ref="E9" authorId="1" shapeId="0" xr:uid="{19C43FD2-1400-406A-ABF8-5A67FC0DEE70}">
      <text>
        <r>
          <rPr>
            <b/>
            <sz val="9"/>
            <color indexed="81"/>
            <rFont val="Tahoma"/>
            <family val="2"/>
          </rPr>
          <t>Ken Freeman, CFA:</t>
        </r>
        <r>
          <rPr>
            <sz val="9"/>
            <color indexed="81"/>
            <rFont val="Tahoma"/>
            <family val="2"/>
          </rPr>
          <t xml:space="preserve">
</t>
        </r>
        <r>
          <rPr>
            <b/>
            <u/>
            <sz val="9"/>
            <color indexed="81"/>
            <rFont val="Tahoma"/>
            <family val="2"/>
          </rPr>
          <t>CHD, 10K, 12/31/24, cover page</t>
        </r>
        <r>
          <rPr>
            <b/>
            <sz val="9"/>
            <color indexed="81"/>
            <rFont val="Tahoma"/>
            <family val="2"/>
          </rPr>
          <t>:</t>
        </r>
        <r>
          <rPr>
            <sz val="9"/>
            <color indexed="81"/>
            <rFont val="Tahoma"/>
            <family val="2"/>
          </rPr>
          <t xml:space="preserve">
"As of February 10, 2025, there were 245,969,881 shares of Common Stock outstanding."</t>
        </r>
      </text>
    </comment>
    <comment ref="H9" authorId="0" shapeId="0" xr:uid="{1110A588-B6EC-45D9-A446-730C7027BD19}">
      <text>
        <r>
          <rPr>
            <b/>
            <sz val="9"/>
            <color indexed="81"/>
            <rFont val="Tahoma"/>
            <family val="2"/>
          </rPr>
          <t>Ken Freeman, CFA:</t>
        </r>
        <r>
          <rPr>
            <sz val="9"/>
            <color indexed="81"/>
            <rFont val="Tahoma"/>
            <family val="2"/>
          </rPr>
          <t xml:space="preserve">
</t>
        </r>
        <r>
          <rPr>
            <b/>
            <u/>
            <sz val="9"/>
            <color indexed="81"/>
            <rFont val="Tahoma"/>
            <family val="2"/>
          </rPr>
          <t>CLX, 10Q, 12/31/24, cover page</t>
        </r>
        <r>
          <rPr>
            <b/>
            <sz val="9"/>
            <color indexed="81"/>
            <rFont val="Tahoma"/>
            <family val="2"/>
          </rPr>
          <t xml:space="preserve">:
</t>
        </r>
        <r>
          <rPr>
            <sz val="9"/>
            <color indexed="81"/>
            <rFont val="Tahoma"/>
            <family val="2"/>
          </rPr>
          <t>"As of January 17, 2025, there were 123,189,867 shares outstanding of the registrant’s common stock ($1.00 par value)."</t>
        </r>
      </text>
    </comment>
    <comment ref="B15" authorId="2" shapeId="0" xr:uid="{6D1FB2D1-C8C6-4DC6-B6EC-41BE595B9C63}">
      <text>
        <r>
          <rPr>
            <b/>
            <sz val="9"/>
            <color indexed="81"/>
            <rFont val="Tahoma"/>
            <family val="2"/>
          </rPr>
          <t>Ken:</t>
        </r>
        <r>
          <rPr>
            <sz val="9"/>
            <color indexed="81"/>
            <rFont val="Tahoma"/>
            <family val="2"/>
          </rPr>
          <t xml:space="preserve">
</t>
        </r>
        <r>
          <rPr>
            <b/>
            <u/>
            <sz val="9"/>
            <color indexed="81"/>
            <rFont val="Tahoma"/>
            <family val="2"/>
          </rPr>
          <t>WDFC, 10Q, 11/30/24, pg. 3</t>
        </r>
        <r>
          <rPr>
            <b/>
            <sz val="9"/>
            <color indexed="81"/>
            <rFont val="Tahoma"/>
            <family val="2"/>
          </rPr>
          <t>:</t>
        </r>
        <r>
          <rPr>
            <sz val="9"/>
            <color indexed="81"/>
            <rFont val="Tahoma"/>
            <family val="2"/>
          </rPr>
          <t xml:space="preserve">
"Short-term borrowings" of $23,429 thousand +
"Long-term borrowings" of $84,552 thousand</t>
        </r>
      </text>
    </comment>
    <comment ref="E15" authorId="1" shapeId="0" xr:uid="{A9F91F08-A0B3-4191-B408-B5511FDBAC1D}">
      <text>
        <r>
          <rPr>
            <b/>
            <sz val="9"/>
            <color indexed="81"/>
            <rFont val="Tahoma"/>
            <family val="2"/>
          </rPr>
          <t>Ken Freeman, CFA:</t>
        </r>
        <r>
          <rPr>
            <sz val="9"/>
            <color indexed="81"/>
            <rFont val="Tahoma"/>
            <family val="2"/>
          </rPr>
          <t xml:space="preserve">
</t>
        </r>
        <r>
          <rPr>
            <b/>
            <u/>
            <sz val="9"/>
            <color indexed="81"/>
            <rFont val="Tahoma"/>
            <family val="2"/>
          </rPr>
          <t>CHD, 10K, 12/31/24, pg. 56</t>
        </r>
        <r>
          <rPr>
            <b/>
            <sz val="9"/>
            <color indexed="81"/>
            <rFont val="Tahoma"/>
            <family val="2"/>
          </rPr>
          <t>:</t>
        </r>
        <r>
          <rPr>
            <sz val="9"/>
            <color indexed="81"/>
            <rFont val="Tahoma"/>
            <family val="2"/>
          </rPr>
          <t xml:space="preserve">
"Long-term Debt" of $2,204.6 million</t>
        </r>
      </text>
    </comment>
    <comment ref="H15" authorId="0" shapeId="0" xr:uid="{5F9401FA-FDB8-4F1D-8387-DF9F452FF796}">
      <text>
        <r>
          <rPr>
            <b/>
            <sz val="9"/>
            <color indexed="81"/>
            <rFont val="Tahoma"/>
            <family val="2"/>
          </rPr>
          <t>Ken Freeman, CFA:</t>
        </r>
        <r>
          <rPr>
            <sz val="9"/>
            <color indexed="81"/>
            <rFont val="Tahoma"/>
            <family val="2"/>
          </rPr>
          <t xml:space="preserve">
</t>
        </r>
        <r>
          <rPr>
            <b/>
            <u/>
            <sz val="9"/>
            <color indexed="81"/>
            <rFont val="Tahoma"/>
            <family val="2"/>
          </rPr>
          <t>CLX, 10Q, 12/31/24, pg. 4</t>
        </r>
        <r>
          <rPr>
            <b/>
            <sz val="9"/>
            <color indexed="81"/>
            <rFont val="Tahoma"/>
            <family val="2"/>
          </rPr>
          <t xml:space="preserve">:
</t>
        </r>
        <r>
          <rPr>
            <sz val="9"/>
            <color indexed="81"/>
            <rFont val="Tahoma"/>
            <family val="2"/>
          </rPr>
          <t>"Notes and loans payable" of $189 million +
"Long-term debt" of $2,483 million</t>
        </r>
      </text>
    </comment>
    <comment ref="B16" authorId="2" shapeId="0" xr:uid="{EDA14E4E-B1E3-40A8-80AA-B8B1C95F4B37}">
      <text>
        <r>
          <rPr>
            <b/>
            <sz val="9"/>
            <color indexed="81"/>
            <rFont val="Tahoma"/>
            <family val="2"/>
          </rPr>
          <t>Ken:</t>
        </r>
        <r>
          <rPr>
            <sz val="9"/>
            <color indexed="81"/>
            <rFont val="Tahoma"/>
            <family val="2"/>
          </rPr>
          <t xml:space="preserve">
</t>
        </r>
        <r>
          <rPr>
            <b/>
            <u/>
            <sz val="9"/>
            <color indexed="81"/>
            <rFont val="Tahoma"/>
            <family val="2"/>
          </rPr>
          <t>WDFC, 10Q, 11/30/24, pg. 3</t>
        </r>
        <r>
          <rPr>
            <b/>
            <sz val="9"/>
            <color indexed="81"/>
            <rFont val="Tahoma"/>
            <family val="2"/>
          </rPr>
          <t>:</t>
        </r>
        <r>
          <rPr>
            <sz val="9"/>
            <color indexed="81"/>
            <rFont val="Tahoma"/>
            <family val="2"/>
          </rPr>
          <t xml:space="preserve">
"Cash and cash equivalents" of $54,914 thousand</t>
        </r>
      </text>
    </comment>
    <comment ref="E16" authorId="0" shapeId="0" xr:uid="{BD3D3A1B-6515-4525-8776-4F67FBCE6FFD}">
      <text>
        <r>
          <rPr>
            <b/>
            <sz val="9"/>
            <color indexed="81"/>
            <rFont val="Tahoma"/>
            <family val="2"/>
          </rPr>
          <t>Ken Freeman, CFA:</t>
        </r>
        <r>
          <rPr>
            <sz val="9"/>
            <color indexed="81"/>
            <rFont val="Tahoma"/>
            <family val="2"/>
          </rPr>
          <t xml:space="preserve">
</t>
        </r>
        <r>
          <rPr>
            <b/>
            <u/>
            <sz val="9"/>
            <color indexed="81"/>
            <rFont val="Tahoma"/>
            <family val="2"/>
          </rPr>
          <t>CHD, 10K, 12/31/24, pg. 56</t>
        </r>
        <r>
          <rPr>
            <b/>
            <sz val="9"/>
            <color indexed="81"/>
            <rFont val="Tahoma"/>
            <family val="2"/>
          </rPr>
          <t>:</t>
        </r>
        <r>
          <rPr>
            <sz val="9"/>
            <color indexed="81"/>
            <rFont val="Tahoma"/>
            <family val="2"/>
          </rPr>
          <t xml:space="preserve">
"Cash and cash equivalents" of $964.1 million</t>
        </r>
      </text>
    </comment>
    <comment ref="H16" authorId="0" shapeId="0" xr:uid="{32EC9F50-EA75-4CD6-B556-C29D64AF3D8C}">
      <text>
        <r>
          <rPr>
            <b/>
            <sz val="9"/>
            <color indexed="81"/>
            <rFont val="Tahoma"/>
            <family val="2"/>
          </rPr>
          <t>Ken Freeman, CFA:</t>
        </r>
        <r>
          <rPr>
            <sz val="9"/>
            <color indexed="81"/>
            <rFont val="Tahoma"/>
            <family val="2"/>
          </rPr>
          <t xml:space="preserve">
</t>
        </r>
        <r>
          <rPr>
            <b/>
            <u/>
            <sz val="9"/>
            <color indexed="81"/>
            <rFont val="Tahoma"/>
            <family val="2"/>
          </rPr>
          <t>CLX, 10Q, 12/31/24, pg. 4</t>
        </r>
        <r>
          <rPr>
            <b/>
            <sz val="9"/>
            <color indexed="81"/>
            <rFont val="Tahoma"/>
            <family val="2"/>
          </rPr>
          <t xml:space="preserve">:
</t>
        </r>
        <r>
          <rPr>
            <sz val="9"/>
            <color indexed="81"/>
            <rFont val="Tahoma"/>
            <family val="2"/>
          </rPr>
          <t>"Cash and cash equivalents" of $290 million</t>
        </r>
      </text>
    </comment>
    <comment ref="H20" authorId="0" shapeId="0" xr:uid="{41A22968-8B1B-4C02-A4F4-642172475AC3}">
      <text>
        <r>
          <rPr>
            <b/>
            <sz val="9"/>
            <color indexed="81"/>
            <rFont val="Tahoma"/>
            <family val="2"/>
          </rPr>
          <t>Ken Freeman, CFA:</t>
        </r>
        <r>
          <rPr>
            <sz val="9"/>
            <color indexed="81"/>
            <rFont val="Tahoma"/>
            <family val="2"/>
          </rPr>
          <t xml:space="preserve">
</t>
        </r>
        <r>
          <rPr>
            <b/>
            <u/>
            <sz val="9"/>
            <color indexed="81"/>
            <rFont val="Tahoma"/>
            <family val="2"/>
          </rPr>
          <t>CLX, 10Q, 12/31/24, pg. 4</t>
        </r>
        <r>
          <rPr>
            <b/>
            <sz val="9"/>
            <color indexed="81"/>
            <rFont val="Tahoma"/>
            <family val="2"/>
          </rPr>
          <t xml:space="preserve">:
</t>
        </r>
        <r>
          <rPr>
            <sz val="9"/>
            <color indexed="81"/>
            <rFont val="Tahoma"/>
            <family val="2"/>
          </rPr>
          <t>"Noncontrolling interests" of $162 million</t>
        </r>
      </text>
    </comment>
    <comment ref="E21" authorId="1" shapeId="0" xr:uid="{AB42230D-7B87-4BAD-A3D5-8B2E686FF843}">
      <text>
        <r>
          <rPr>
            <b/>
            <sz val="9"/>
            <color indexed="81"/>
            <rFont val="Tahoma"/>
            <family val="2"/>
          </rPr>
          <t xml:space="preserve">Ken Freeman, CFA:
</t>
        </r>
        <r>
          <rPr>
            <b/>
            <u/>
            <sz val="9"/>
            <color indexed="81"/>
            <rFont val="Tahoma"/>
            <family val="2"/>
          </rPr>
          <t>CHD, 10K, 12/31/24, pg. 56</t>
        </r>
        <r>
          <rPr>
            <b/>
            <sz val="9"/>
            <color indexed="81"/>
            <rFont val="Tahoma"/>
            <family val="2"/>
          </rPr>
          <t>:</t>
        </r>
        <r>
          <rPr>
            <sz val="9"/>
            <color indexed="81"/>
            <rFont val="Tahoma"/>
            <family val="2"/>
          </rPr>
          <t xml:space="preserve">
"Equity Investment in Affiliates" of $11.1 million</t>
        </r>
      </text>
    </comment>
    <comment ref="E25" authorId="0" shapeId="0" xr:uid="{421065E2-7FCF-4560-9AD1-E9ADDCA5D379}">
      <text>
        <r>
          <rPr>
            <b/>
            <sz val="9"/>
            <color indexed="81"/>
            <rFont val="Tahoma"/>
            <family val="2"/>
          </rPr>
          <t>Ken Freeman, CFA:</t>
        </r>
        <r>
          <rPr>
            <sz val="9"/>
            <color indexed="81"/>
            <rFont val="Tahoma"/>
            <family val="2"/>
          </rPr>
          <t xml:space="preserve">
</t>
        </r>
        <r>
          <rPr>
            <b/>
            <u/>
            <sz val="9"/>
            <color indexed="81"/>
            <rFont val="Tahoma"/>
            <family val="2"/>
          </rPr>
          <t>CHD, 10K, 12/31/24, pg. 56</t>
        </r>
        <r>
          <rPr>
            <b/>
            <sz val="9"/>
            <color indexed="81"/>
            <rFont val="Tahoma"/>
            <family val="2"/>
          </rPr>
          <t>:</t>
        </r>
        <r>
          <rPr>
            <sz val="9"/>
            <color indexed="81"/>
            <rFont val="Tahoma"/>
            <family val="2"/>
          </rPr>
          <t xml:space="preserve">
"Net Sales" of $6,107.1 million</t>
        </r>
      </text>
    </comment>
    <comment ref="E29" authorId="0" shapeId="0" xr:uid="{377EDA05-C6DB-4D65-9198-01868E782B31}">
      <text>
        <r>
          <rPr>
            <b/>
            <sz val="9"/>
            <color indexed="81"/>
            <rFont val="Tahoma"/>
            <family val="2"/>
          </rPr>
          <t>Ken Freeman, CFA:</t>
        </r>
        <r>
          <rPr>
            <sz val="9"/>
            <color indexed="81"/>
            <rFont val="Tahoma"/>
            <family val="2"/>
          </rPr>
          <t xml:space="preserve">
</t>
        </r>
        <r>
          <rPr>
            <b/>
            <u/>
            <sz val="9"/>
            <color indexed="81"/>
            <rFont val="Tahoma"/>
            <family val="2"/>
          </rPr>
          <t>CHD, 10K, 12/31/24, pgs. 55 &amp; 57</t>
        </r>
        <r>
          <rPr>
            <b/>
            <sz val="9"/>
            <color indexed="81"/>
            <rFont val="Tahoma"/>
            <family val="2"/>
          </rPr>
          <t>:</t>
        </r>
        <r>
          <rPr>
            <sz val="9"/>
            <color indexed="81"/>
            <rFont val="Tahoma"/>
            <family val="2"/>
          </rPr>
          <t xml:space="preserve">
"Income from Operations" of $807.1 million +
"VMS Trade name and other asset impairments" of $357.1 million +
"Depreciation expense" of 83.2 million +
"Amortization expense" 155.9 million</t>
        </r>
      </text>
    </comment>
    <comment ref="E33" authorId="0" shapeId="0" xr:uid="{0D720877-13B8-4D30-A654-98454E05ED8C}">
      <text>
        <r>
          <rPr>
            <b/>
            <sz val="9"/>
            <color indexed="81"/>
            <rFont val="Tahoma"/>
            <family val="2"/>
          </rPr>
          <t>Ken Freeman, CFA:</t>
        </r>
        <r>
          <rPr>
            <sz val="9"/>
            <color indexed="81"/>
            <rFont val="Tahoma"/>
            <family val="2"/>
          </rPr>
          <t xml:space="preserve">
</t>
        </r>
        <r>
          <rPr>
            <b/>
            <u/>
            <sz val="9"/>
            <color indexed="81"/>
            <rFont val="Tahoma"/>
            <family val="2"/>
          </rPr>
          <t>CHD, 10K, 12/31/24, pg. 56</t>
        </r>
        <r>
          <rPr>
            <b/>
            <sz val="9"/>
            <color indexed="81"/>
            <rFont val="Tahoma"/>
            <family val="2"/>
          </rPr>
          <t>:</t>
        </r>
        <r>
          <rPr>
            <sz val="9"/>
            <color indexed="81"/>
            <rFont val="Tahoma"/>
            <family val="2"/>
          </rPr>
          <t xml:space="preserve">
"Net Income" of $585.3 million</t>
        </r>
      </text>
    </comment>
    <comment ref="E37" authorId="0" shapeId="0" xr:uid="{2AA70430-9234-482F-940E-03DA15173DC9}">
      <text>
        <r>
          <rPr>
            <b/>
            <sz val="9"/>
            <color indexed="81"/>
            <rFont val="Tahoma"/>
            <family val="2"/>
          </rPr>
          <t>Ken Freeman, CFA:</t>
        </r>
        <r>
          <rPr>
            <sz val="9"/>
            <color indexed="81"/>
            <rFont val="Tahoma"/>
            <family val="2"/>
          </rPr>
          <t xml:space="preserve">
</t>
        </r>
        <r>
          <rPr>
            <b/>
            <u/>
            <sz val="9"/>
            <color indexed="81"/>
            <rFont val="Tahoma"/>
            <family val="2"/>
          </rPr>
          <t>CHD, 10K, 12/31/24, pg. 57</t>
        </r>
        <r>
          <rPr>
            <b/>
            <sz val="9"/>
            <color indexed="81"/>
            <rFont val="Tahoma"/>
            <family val="2"/>
          </rPr>
          <t>:</t>
        </r>
        <r>
          <rPr>
            <sz val="9"/>
            <color indexed="81"/>
            <rFont val="Tahoma"/>
            <family val="2"/>
          </rPr>
          <t xml:space="preserve">
"Additions to property, plant and equipment" of $179.8 million</t>
        </r>
      </text>
    </comment>
    <comment ref="L48" authorId="1" shapeId="0" xr:uid="{F265BDE2-8872-4E7F-8761-A7052D6B9FEC}">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"Net Sales" of $3,376 million</t>
        </r>
      </text>
    </comment>
    <comment ref="M48" authorId="1" shapeId="0" xr:uid="{55865427-1FFA-4D29-8C3D-CC3399B889FD}">
      <text>
        <r>
          <rPr>
            <b/>
            <sz val="9"/>
            <color indexed="81"/>
            <rFont val="Tahoma"/>
            <family val="2"/>
          </rPr>
          <t>Ken Freeman, CFA:</t>
        </r>
        <r>
          <rPr>
            <sz val="9"/>
            <color indexed="81"/>
            <rFont val="Tahoma"/>
            <family val="2"/>
          </rPr>
          <t xml:space="preserve">
</t>
        </r>
        <r>
          <rPr>
            <b/>
            <u/>
            <sz val="9"/>
            <color indexed="81"/>
            <rFont val="Tahoma"/>
            <family val="2"/>
          </rPr>
          <t>CLX, 10K, 6/30/24, pg. 26 (95 of 137 in pdf)</t>
        </r>
        <r>
          <rPr>
            <b/>
            <sz val="9"/>
            <color indexed="81"/>
            <rFont val="Tahoma"/>
            <family val="2"/>
          </rPr>
          <t>:</t>
        </r>
        <r>
          <rPr>
            <sz val="9"/>
            <color indexed="81"/>
            <rFont val="Tahoma"/>
            <family val="2"/>
          </rPr>
          <t xml:space="preserve">
"Net sales" of $7,093 million</t>
        </r>
      </text>
    </comment>
    <comment ref="N48" authorId="1" shapeId="0" xr:uid="{025950C5-666A-4D46-8143-CD8A42B59DFD}">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"Net Sales" of $3,448 million</t>
        </r>
      </text>
    </comment>
    <comment ref="L49" authorId="1" shapeId="0" xr:uid="{8FA77AE4-C92D-49B7-82A3-46EE54C1AC83}">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"Earnings before income taxes" of $165 million</t>
        </r>
      </text>
    </comment>
    <comment ref="M49" authorId="1" shapeId="0" xr:uid="{9866406D-256D-4B5A-BD6E-22C2BB333363}">
      <text>
        <r>
          <rPr>
            <b/>
            <sz val="9"/>
            <color indexed="81"/>
            <rFont val="Tahoma"/>
            <family val="2"/>
          </rPr>
          <t>Ken Freeman, CFA:</t>
        </r>
        <r>
          <rPr>
            <sz val="9"/>
            <color indexed="81"/>
            <rFont val="Tahoma"/>
            <family val="2"/>
          </rPr>
          <t xml:space="preserve">
</t>
        </r>
        <r>
          <rPr>
            <b/>
            <u/>
            <sz val="9"/>
            <color indexed="81"/>
            <rFont val="Tahoma"/>
            <family val="2"/>
          </rPr>
          <t>CLX, 10K, 6/30/24, pg. 26 (95 of 137 in pdf)</t>
        </r>
        <r>
          <rPr>
            <b/>
            <sz val="9"/>
            <color indexed="81"/>
            <rFont val="Tahoma"/>
            <family val="2"/>
          </rPr>
          <t>:</t>
        </r>
        <r>
          <rPr>
            <sz val="9"/>
            <color indexed="81"/>
            <rFont val="Tahoma"/>
            <family val="2"/>
          </rPr>
          <t xml:space="preserve">
"Earning before income taxes (EBT)" of $398 million</t>
        </r>
      </text>
    </comment>
    <comment ref="N49" authorId="1" shapeId="0" xr:uid="{AFE06CB9-B657-4042-96D1-74071254B8EE}">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"Earnings before income taxes" of $414 million</t>
        </r>
      </text>
    </comment>
    <comment ref="L50" authorId="1" shapeId="0" xr:uid="{4FDCBCF4-FCE2-4998-BE62-7AC507223161}">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"Interest expense" of $47 million</t>
        </r>
      </text>
    </comment>
    <comment ref="M50" authorId="1" shapeId="0" xr:uid="{66E3FAC5-9AB0-4A38-8EDC-D74699E86B36}">
      <text>
        <r>
          <rPr>
            <b/>
            <sz val="9"/>
            <color indexed="81"/>
            <rFont val="Tahoma"/>
            <family val="2"/>
          </rPr>
          <t>Ken Freeman, CFA:</t>
        </r>
        <r>
          <rPr>
            <sz val="9"/>
            <color indexed="81"/>
            <rFont val="Tahoma"/>
            <family val="2"/>
          </rPr>
          <t xml:space="preserve">
</t>
        </r>
        <r>
          <rPr>
            <b/>
            <u/>
            <sz val="9"/>
            <color indexed="81"/>
            <rFont val="Tahoma"/>
            <family val="2"/>
          </rPr>
          <t>CLX, 10K, 6/30/24, pg. 26 (95 of 137 in pdf)</t>
        </r>
        <r>
          <rPr>
            <b/>
            <sz val="9"/>
            <color indexed="81"/>
            <rFont val="Tahoma"/>
            <family val="2"/>
          </rPr>
          <t>:</t>
        </r>
        <r>
          <rPr>
            <sz val="9"/>
            <color indexed="81"/>
            <rFont val="Tahoma"/>
            <family val="2"/>
          </rPr>
          <t xml:space="preserve">
"Interest expense" of $90 million</t>
        </r>
      </text>
    </comment>
    <comment ref="N50" authorId="1" shapeId="0" xr:uid="{BA56F8EC-8501-4022-9FFC-563CF7B9E303}">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"Interest expense" of $43 million</t>
        </r>
      </text>
    </comment>
    <comment ref="L51" authorId="1" shapeId="0" xr:uid="{B620BA1F-F416-401F-BBA4-52B2B91411D4}">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"Other (income) expense, net" of $5 million +
"Pension settlement charge" of $171 million</t>
        </r>
      </text>
    </comment>
    <comment ref="M51" authorId="1" shapeId="0" xr:uid="{51110810-DCAF-4BCD-87FC-F5B20A1974A1}">
      <text>
        <r>
          <rPr>
            <b/>
            <sz val="9"/>
            <color indexed="81"/>
            <rFont val="Tahoma"/>
            <family val="2"/>
          </rPr>
          <t>Ken Freeman, CFA:</t>
        </r>
        <r>
          <rPr>
            <sz val="9"/>
            <color indexed="81"/>
            <rFont val="Tahoma"/>
            <family val="2"/>
          </rPr>
          <t xml:space="preserve">
</t>
        </r>
        <r>
          <rPr>
            <b/>
            <u/>
            <sz val="9"/>
            <color indexed="81"/>
            <rFont val="Tahoma"/>
            <family val="2"/>
          </rPr>
          <t>CLX, 10K, 6/30/24, pg. 26 (95 of 137 in pdf)</t>
        </r>
        <r>
          <rPr>
            <b/>
            <sz val="9"/>
            <color indexed="81"/>
            <rFont val="Tahoma"/>
            <family val="2"/>
          </rPr>
          <t>:</t>
        </r>
        <r>
          <rPr>
            <sz val="9"/>
            <color indexed="81"/>
            <rFont val="Tahoma"/>
            <family val="2"/>
          </rPr>
          <t xml:space="preserve">
"Other (income) expense, net" of $24 million +
"Pension settlement charge" of $171 million +
"Loss on divestiture" of $240 million</t>
        </r>
      </text>
    </comment>
    <comment ref="N51" authorId="1" shapeId="0" xr:uid="{84DAB7E7-47FA-4C79-A64A-B52BA3D0D2F3}">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"Other (income) expense, net" of ($45) million +
"Loss on divestiture" of $118 million</t>
        </r>
      </text>
    </comment>
    <comment ref="L52" authorId="1" shapeId="0" xr:uid="{BD985757-2164-48D3-9CD5-C286222B5F4B}">
      <text>
        <r>
          <rPr>
            <b/>
            <sz val="9"/>
            <color indexed="81"/>
            <rFont val="Tahoma"/>
            <family val="2"/>
          </rPr>
          <t>Ken Freeman, CFA:</t>
        </r>
        <r>
          <rPr>
            <sz val="9"/>
            <color indexed="81"/>
            <rFont val="Tahoma"/>
            <family val="2"/>
          </rPr>
          <t xml:space="preserve">
</t>
        </r>
        <r>
          <rPr>
            <b/>
            <u/>
            <sz val="9"/>
            <color indexed="81"/>
            <rFont val="Tahoma"/>
            <family val="2"/>
          </rPr>
          <t>CLX, 10Q, 12/31/24, pg. 5</t>
        </r>
        <r>
          <rPr>
            <b/>
            <sz val="9"/>
            <color indexed="81"/>
            <rFont val="Tahoma"/>
            <family val="2"/>
          </rPr>
          <t xml:space="preserve">:
</t>
        </r>
        <r>
          <rPr>
            <sz val="9"/>
            <color indexed="81"/>
            <rFont val="Tahoma"/>
            <family val="2"/>
          </rPr>
          <t>"Depreciation and amortization" of $118 million</t>
        </r>
      </text>
    </comment>
    <comment ref="M52" authorId="1" shapeId="0" xr:uid="{35E51057-FFCC-4C50-8E3A-2C9DFB320AC2}">
      <text>
        <r>
          <rPr>
            <b/>
            <sz val="9"/>
            <color indexed="81"/>
            <rFont val="Tahoma"/>
            <family val="2"/>
          </rPr>
          <t>Ken Freeman, CFA:</t>
        </r>
        <r>
          <rPr>
            <sz val="9"/>
            <color indexed="81"/>
            <rFont val="Tahoma"/>
            <family val="2"/>
          </rPr>
          <t xml:space="preserve">
</t>
        </r>
        <r>
          <rPr>
            <b/>
            <u/>
            <sz val="9"/>
            <color indexed="81"/>
            <rFont val="Tahoma"/>
            <family val="2"/>
          </rPr>
          <t>CLX, 10K, 6/30/24, pg. 30 (99 of 137 in pdf)</t>
        </r>
        <r>
          <rPr>
            <b/>
            <sz val="9"/>
            <color indexed="81"/>
            <rFont val="Tahoma"/>
            <family val="2"/>
          </rPr>
          <t>:</t>
        </r>
        <r>
          <rPr>
            <sz val="9"/>
            <color indexed="81"/>
            <rFont val="Tahoma"/>
            <family val="2"/>
          </rPr>
          <t xml:space="preserve">
"Depreciation and amortization" of $235 million</t>
        </r>
      </text>
    </comment>
    <comment ref="N52" authorId="1" shapeId="0" xr:uid="{56824A12-24C9-4464-8585-FC56C634B210}">
      <text>
        <r>
          <rPr>
            <b/>
            <sz val="9"/>
            <color indexed="81"/>
            <rFont val="Tahoma"/>
            <family val="2"/>
          </rPr>
          <t>Ken Freeman, CFA:</t>
        </r>
        <r>
          <rPr>
            <sz val="9"/>
            <color indexed="81"/>
            <rFont val="Tahoma"/>
            <family val="2"/>
          </rPr>
          <t xml:space="preserve">
</t>
        </r>
        <r>
          <rPr>
            <b/>
            <u/>
            <sz val="9"/>
            <color indexed="81"/>
            <rFont val="Tahoma"/>
            <family val="2"/>
          </rPr>
          <t>CLX, 10Q, 12/31/24, pg. 5</t>
        </r>
        <r>
          <rPr>
            <b/>
            <sz val="9"/>
            <color indexed="81"/>
            <rFont val="Tahoma"/>
            <family val="2"/>
          </rPr>
          <t xml:space="preserve">:
</t>
        </r>
        <r>
          <rPr>
            <sz val="9"/>
            <color indexed="81"/>
            <rFont val="Tahoma"/>
            <family val="2"/>
          </rPr>
          <t>"Depreciation and amortization" of $107 million</t>
        </r>
      </text>
    </comment>
    <comment ref="L54" authorId="1" shapeId="0" xr:uid="{B33E504A-BF1A-4099-B662-AE989A57B768}">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"Net earnings attributable to Clorox" of $115 million</t>
        </r>
      </text>
    </comment>
    <comment ref="M54" authorId="1" shapeId="0" xr:uid="{4DBAF907-BA7C-4213-AFDB-1229A82DB52F}">
      <text>
        <r>
          <rPr>
            <b/>
            <sz val="9"/>
            <color indexed="81"/>
            <rFont val="Tahoma"/>
            <family val="2"/>
          </rPr>
          <t>Ken Freeman, CFA:</t>
        </r>
        <r>
          <rPr>
            <sz val="9"/>
            <color indexed="81"/>
            <rFont val="Tahoma"/>
            <family val="2"/>
          </rPr>
          <t xml:space="preserve">
</t>
        </r>
        <r>
          <rPr>
            <b/>
            <u/>
            <sz val="9"/>
            <color indexed="81"/>
            <rFont val="Tahoma"/>
            <family val="2"/>
          </rPr>
          <t>CLX, 10K, 6/30/24, pg. 26 (95 of 137 in pdf)</t>
        </r>
        <r>
          <rPr>
            <b/>
            <sz val="9"/>
            <color indexed="81"/>
            <rFont val="Tahoma"/>
            <family val="2"/>
          </rPr>
          <t>:</t>
        </r>
        <r>
          <rPr>
            <sz val="9"/>
            <color indexed="81"/>
            <rFont val="Tahoma"/>
            <family val="2"/>
          </rPr>
          <t xml:space="preserve">
"Net earnings attributable to Clorox" of $280 million</t>
        </r>
      </text>
    </comment>
    <comment ref="N54" authorId="1" shapeId="0" xr:uid="{3207D3EC-EDD1-4B80-A8D2-220E88B7B5D4}">
      <text>
        <r>
          <rPr>
            <b/>
            <sz val="9"/>
            <color indexed="81"/>
            <rFont val="Tahoma"/>
            <family val="2"/>
          </rPr>
          <t>Ken Freeman, CFA:</t>
        </r>
        <r>
          <rPr>
            <sz val="9"/>
            <color indexed="81"/>
            <rFont val="Tahoma"/>
            <family val="2"/>
          </rPr>
          <t xml:space="preserve">
</t>
        </r>
        <r>
          <rPr>
            <b/>
            <u/>
            <sz val="9"/>
            <color indexed="81"/>
            <rFont val="Tahoma"/>
            <family val="2"/>
          </rPr>
          <t>CLX, 10Q, 12/31/24, pg. 3</t>
        </r>
        <r>
          <rPr>
            <b/>
            <sz val="9"/>
            <color indexed="81"/>
            <rFont val="Tahoma"/>
            <family val="2"/>
          </rPr>
          <t xml:space="preserve">:
</t>
        </r>
        <r>
          <rPr>
            <sz val="9"/>
            <color indexed="81"/>
            <rFont val="Tahoma"/>
            <family val="2"/>
          </rPr>
          <t>"Net earnings attributable to Clorox" of $292 million</t>
        </r>
      </text>
    </comment>
    <comment ref="L55" authorId="1" shapeId="0" xr:uid="{E3440E49-3613-4316-980F-E2172593EE71}">
      <text>
        <r>
          <rPr>
            <b/>
            <sz val="9"/>
            <color indexed="81"/>
            <rFont val="Tahoma"/>
            <family val="2"/>
          </rPr>
          <t>Ken Freeman, CFA:</t>
        </r>
        <r>
          <rPr>
            <sz val="9"/>
            <color indexed="81"/>
            <rFont val="Tahoma"/>
            <family val="2"/>
          </rPr>
          <t xml:space="preserve">
</t>
        </r>
        <r>
          <rPr>
            <b/>
            <u/>
            <sz val="9"/>
            <color indexed="81"/>
            <rFont val="Tahoma"/>
            <family val="2"/>
          </rPr>
          <t>CLX, 10Q, 12/31/24, pg. 5</t>
        </r>
        <r>
          <rPr>
            <b/>
            <sz val="9"/>
            <color indexed="81"/>
            <rFont val="Tahoma"/>
            <family val="2"/>
          </rPr>
          <t xml:space="preserve">:
</t>
        </r>
        <r>
          <rPr>
            <sz val="9"/>
            <color indexed="81"/>
            <rFont val="Tahoma"/>
            <family val="2"/>
          </rPr>
          <t>"Capital expenditures" of $76 million</t>
        </r>
      </text>
    </comment>
    <comment ref="M55" authorId="1" shapeId="0" xr:uid="{AFFFF65D-954D-4B38-B241-F731000100CB}">
      <text>
        <r>
          <rPr>
            <b/>
            <sz val="9"/>
            <color indexed="81"/>
            <rFont val="Tahoma"/>
            <family val="2"/>
          </rPr>
          <t>Ken Freeman, CFA:</t>
        </r>
        <r>
          <rPr>
            <sz val="9"/>
            <color indexed="81"/>
            <rFont val="Tahoma"/>
            <family val="2"/>
          </rPr>
          <t xml:space="preserve">
</t>
        </r>
        <r>
          <rPr>
            <b/>
            <u/>
            <sz val="9"/>
            <color indexed="81"/>
            <rFont val="Tahoma"/>
            <family val="2"/>
          </rPr>
          <t>CLX, 10K, 6/30/24, pg. 30 (99 of 137 in pdf)</t>
        </r>
        <r>
          <rPr>
            <b/>
            <sz val="9"/>
            <color indexed="81"/>
            <rFont val="Tahoma"/>
            <family val="2"/>
          </rPr>
          <t>:</t>
        </r>
        <r>
          <rPr>
            <sz val="9"/>
            <color indexed="81"/>
            <rFont val="Tahoma"/>
            <family val="2"/>
          </rPr>
          <t xml:space="preserve">
"Capital Expenditures" of $212 million</t>
        </r>
      </text>
    </comment>
    <comment ref="N55" authorId="1" shapeId="0" xr:uid="{6436F209-0E1D-46CE-9248-C4AC57C05E5F}">
      <text>
        <r>
          <rPr>
            <b/>
            <sz val="9"/>
            <color indexed="81"/>
            <rFont val="Tahoma"/>
            <family val="2"/>
          </rPr>
          <t>Ken Freeman, CFA:</t>
        </r>
        <r>
          <rPr>
            <sz val="9"/>
            <color indexed="81"/>
            <rFont val="Tahoma"/>
            <family val="2"/>
          </rPr>
          <t xml:space="preserve">
</t>
        </r>
        <r>
          <rPr>
            <b/>
            <u/>
            <sz val="9"/>
            <color indexed="81"/>
            <rFont val="Tahoma"/>
            <family val="2"/>
          </rPr>
          <t>CLX, 10Q, 12/31/24, pg. 5</t>
        </r>
        <r>
          <rPr>
            <b/>
            <sz val="9"/>
            <color indexed="81"/>
            <rFont val="Tahoma"/>
            <family val="2"/>
          </rPr>
          <t xml:space="preserve">:
</t>
        </r>
        <r>
          <rPr>
            <sz val="9"/>
            <color indexed="81"/>
            <rFont val="Tahoma"/>
            <family val="2"/>
          </rPr>
          <t>"Capital expenditures" of $92 million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Podium</author>
  </authors>
  <commentList>
    <comment ref="B18" authorId="0" shapeId="0" xr:uid="{A245E4E9-D425-4A03-AAC5-B3BC4D82C6A5}">
      <text>
        <r>
          <rPr>
            <b/>
            <sz val="8"/>
            <color indexed="81"/>
            <rFont val="Tahoma"/>
            <family val="2"/>
          </rPr>
          <t>Ken:</t>
        </r>
        <r>
          <rPr>
            <sz val="8"/>
            <color indexed="81"/>
            <rFont val="Tahoma"/>
            <family val="2"/>
          </rPr>
          <t xml:space="preserve">
</t>
        </r>
        <r>
          <rPr>
            <b/>
            <u/>
            <sz val="8"/>
            <color indexed="81"/>
            <rFont val="Tahoma"/>
            <family val="2"/>
          </rPr>
          <t>SOA, 10K, 12/31/11</t>
        </r>
        <r>
          <rPr>
            <sz val="8"/>
            <color indexed="81"/>
            <rFont val="Tahoma"/>
            <family val="2"/>
          </rPr>
          <t>:
"Indicate the number of shares outstanding of each of the registrant's classes of common stock, as of the latest practicable date:   122,412,740  shares of common stock, $.01 par value, outstanding as of the close of business on January 31, 2012.</t>
        </r>
      </text>
    </comment>
    <comment ref="B24" authorId="0" shapeId="0" xr:uid="{51EE28D8-2D73-4C33-9587-FF3C00D17008}">
      <text>
        <r>
          <rPr>
            <b/>
            <sz val="8"/>
            <color indexed="81"/>
            <rFont val="Tahoma"/>
            <family val="2"/>
          </rPr>
          <t>Ken:</t>
        </r>
        <r>
          <rPr>
            <sz val="8"/>
            <color indexed="81"/>
            <rFont val="Tahoma"/>
            <family val="2"/>
          </rPr>
          <t xml:space="preserve">
</t>
        </r>
        <r>
          <rPr>
            <b/>
            <u/>
            <sz val="8"/>
            <color indexed="81"/>
            <rFont val="Tahoma"/>
            <family val="2"/>
          </rPr>
          <t>SOA, 10K, 12/31/11, pg. 44</t>
        </r>
        <r>
          <rPr>
            <sz val="8"/>
            <color indexed="81"/>
            <rFont val="Tahoma"/>
            <family val="2"/>
          </rPr>
          <t>:
"Long-term debt" of $1,337 million</t>
        </r>
      </text>
    </comment>
    <comment ref="B25" authorId="0" shapeId="0" xr:uid="{E1BA2B37-0965-4BA9-B8C1-8213840A0116}">
      <text>
        <r>
          <rPr>
            <b/>
            <sz val="8"/>
            <color indexed="81"/>
            <rFont val="Tahoma"/>
            <family val="2"/>
          </rPr>
          <t>Ken:</t>
        </r>
        <r>
          <rPr>
            <sz val="8"/>
            <color indexed="81"/>
            <rFont val="Tahoma"/>
            <family val="2"/>
          </rPr>
          <t xml:space="preserve">
</t>
        </r>
        <r>
          <rPr>
            <b/>
            <u/>
            <sz val="8"/>
            <color indexed="81"/>
            <rFont val="Tahoma"/>
            <family val="2"/>
          </rPr>
          <t>SOA, 10K, 12/31/11, pg. 44</t>
        </r>
        <r>
          <rPr>
            <sz val="8"/>
            <color indexed="81"/>
            <rFont val="Tahoma"/>
            <family val="2"/>
          </rPr>
          <t>:
"Cash and cash equivalents" of $113 million</t>
        </r>
      </text>
    </comment>
    <comment ref="B28" authorId="0" shapeId="0" xr:uid="{8DF6D9D9-819C-4270-9B6C-94965C39A4F9}">
      <text>
        <r>
          <rPr>
            <b/>
            <sz val="8"/>
            <color indexed="81"/>
            <rFont val="Tahoma"/>
            <family val="2"/>
          </rPr>
          <t>Ken:</t>
        </r>
        <r>
          <rPr>
            <sz val="8"/>
            <color indexed="81"/>
            <rFont val="Tahoma"/>
            <family val="2"/>
          </rPr>
          <t xml:space="preserve">
</t>
        </r>
        <r>
          <rPr>
            <b/>
            <u/>
            <sz val="8"/>
            <color indexed="81"/>
            <rFont val="Tahoma"/>
            <family val="2"/>
          </rPr>
          <t>SOA, 10K, 12/31/11, pg. 44</t>
        </r>
        <r>
          <rPr>
            <sz val="8"/>
            <color indexed="81"/>
            <rFont val="Tahoma"/>
            <family val="2"/>
          </rPr>
          <t>:
"Equity attributable to noncontrolling interest" of $8 million</t>
        </r>
      </text>
    </comment>
    <comment ref="B31" authorId="0" shapeId="0" xr:uid="{08F083DE-B7C4-4273-B1DE-AE51557A25A1}">
      <text>
        <r>
          <rPr>
            <b/>
            <sz val="8"/>
            <color indexed="81"/>
            <rFont val="Tahoma"/>
            <family val="2"/>
          </rPr>
          <t>Ken:</t>
        </r>
        <r>
          <rPr>
            <sz val="8"/>
            <color indexed="81"/>
            <rFont val="Tahoma"/>
            <family val="2"/>
          </rPr>
          <t xml:space="preserve">
</t>
        </r>
        <r>
          <rPr>
            <b/>
            <u/>
            <sz val="8"/>
            <color indexed="81"/>
            <rFont val="Tahoma"/>
            <family val="2"/>
          </rPr>
          <t>SOA, 10K, 12/31/11, pg. 43</t>
        </r>
        <r>
          <rPr>
            <sz val="8"/>
            <color indexed="81"/>
            <rFont val="Tahoma"/>
            <family val="2"/>
          </rPr>
          <t>:
"Net Sales" of $2,097 million for the year ended 12/31/11</t>
        </r>
      </text>
    </comment>
    <comment ref="B33" authorId="0" shapeId="0" xr:uid="{41DA6586-A089-446B-821B-7A469D1C4786}">
      <text>
        <r>
          <rPr>
            <b/>
            <sz val="8"/>
            <color indexed="81"/>
            <rFont val="Tahoma"/>
            <family val="2"/>
          </rPr>
          <t>Ken:</t>
        </r>
        <r>
          <rPr>
            <sz val="8"/>
            <color indexed="81"/>
            <rFont val="Tahoma"/>
            <family val="2"/>
          </rPr>
          <t xml:space="preserve">
</t>
        </r>
        <r>
          <rPr>
            <b/>
            <u/>
            <sz val="8"/>
            <color indexed="81"/>
            <rFont val="Tahoma"/>
            <family val="2"/>
          </rPr>
          <t>SOA, 10K, 12/31/11, pg. 43</t>
        </r>
        <r>
          <rPr>
            <sz val="8"/>
            <color indexed="81"/>
            <rFont val="Tahoma"/>
            <family val="2"/>
          </rPr>
          <t>:
"Operating Income" of $404 million for the year ended 12/31/11</t>
        </r>
      </text>
    </comment>
    <comment ref="B34" authorId="0" shapeId="0" xr:uid="{D2C8017A-44C3-4D33-98ED-E2621955547A}">
      <text>
        <r>
          <rPr>
            <b/>
            <sz val="8"/>
            <color indexed="81"/>
            <rFont val="Tahoma"/>
            <family val="2"/>
          </rPr>
          <t>Ken:</t>
        </r>
        <r>
          <rPr>
            <sz val="8"/>
            <color indexed="81"/>
            <rFont val="Tahoma"/>
            <family val="2"/>
          </rPr>
          <t xml:space="preserve">
</t>
        </r>
        <r>
          <rPr>
            <b/>
            <u/>
            <sz val="8"/>
            <color indexed="81"/>
            <rFont val="Tahoma"/>
            <family val="2"/>
          </rPr>
          <t>SOA, 10K, 12/31/11, pg. 43</t>
        </r>
        <r>
          <rPr>
            <sz val="8"/>
            <color indexed="81"/>
            <rFont val="Tahoma"/>
            <family val="2"/>
          </rPr>
          <t>:
"Other operating income, net" of ($44) million for the year ended 12/31/11</t>
        </r>
      </text>
    </comment>
    <comment ref="B35" authorId="0" shapeId="0" xr:uid="{41921239-09E1-4D96-A4AA-B1CF43CD84F6}">
      <text>
        <r>
          <rPr>
            <b/>
            <sz val="8"/>
            <color indexed="81"/>
            <rFont val="Tahoma"/>
            <family val="2"/>
          </rPr>
          <t>Ken:</t>
        </r>
        <r>
          <rPr>
            <sz val="8"/>
            <color indexed="81"/>
            <rFont val="Tahoma"/>
            <family val="2"/>
          </rPr>
          <t xml:space="preserve">
</t>
        </r>
        <r>
          <rPr>
            <b/>
            <u/>
            <sz val="8"/>
            <color indexed="81"/>
            <rFont val="Tahoma"/>
            <family val="2"/>
          </rPr>
          <t>SOA, 10K, 12/31/11, pg. 45</t>
        </r>
        <r>
          <rPr>
            <sz val="8"/>
            <color indexed="81"/>
            <rFont val="Tahoma"/>
            <family val="2"/>
          </rPr>
          <t>:
"Depreciation and amortization" of $125 million for the year ended 12/31/11</t>
        </r>
      </text>
    </comment>
    <comment ref="B38" authorId="0" shapeId="0" xr:uid="{61F82113-68E4-4175-9435-4D6371B3895F}">
      <text>
        <r>
          <rPr>
            <b/>
            <sz val="8"/>
            <color indexed="81"/>
            <rFont val="Tahoma"/>
            <family val="2"/>
          </rPr>
          <t>Ken:</t>
        </r>
        <r>
          <rPr>
            <sz val="8"/>
            <color indexed="81"/>
            <rFont val="Tahoma"/>
            <family val="2"/>
          </rPr>
          <t xml:space="preserve">
</t>
        </r>
        <r>
          <rPr>
            <b/>
            <u/>
            <sz val="8"/>
            <color indexed="81"/>
            <rFont val="Tahoma"/>
            <family val="2"/>
          </rPr>
          <t>SOA, 10K, 12/31/11, pg. 45</t>
        </r>
        <r>
          <rPr>
            <sz val="8"/>
            <color indexed="81"/>
            <rFont val="Tahoma"/>
            <family val="2"/>
          </rPr>
          <t>:
"Property, plant and equipment purchases" of $105 million for the year ended 12/31/11</t>
        </r>
      </text>
    </comment>
    <comment ref="B42" authorId="0" shapeId="0" xr:uid="{3BEBC9C2-26AB-483F-8FC8-026794AB74FE}">
      <text>
        <r>
          <rPr>
            <b/>
            <sz val="8"/>
            <color indexed="81"/>
            <rFont val="Tahoma"/>
            <family val="2"/>
          </rPr>
          <t>Ken:</t>
        </r>
        <r>
          <rPr>
            <sz val="8"/>
            <color indexed="81"/>
            <rFont val="Tahoma"/>
            <family val="2"/>
          </rPr>
          <t xml:space="preserve">
</t>
        </r>
        <r>
          <rPr>
            <b/>
            <u/>
            <sz val="8"/>
            <color indexed="81"/>
            <rFont val="Tahoma"/>
            <family val="2"/>
          </rPr>
          <t>SOA, 10K, 12/31/11, pg. 43</t>
        </r>
        <r>
          <rPr>
            <sz val="8"/>
            <color indexed="81"/>
            <rFont val="Tahoma"/>
            <family val="2"/>
          </rPr>
          <t>:
"Net Income (Loss) attributable to Solutia" of $262 million for the year ended 12/31/11</t>
        </r>
      </text>
    </comment>
    <comment ref="B51" authorId="0" shapeId="0" xr:uid="{EA093A5A-4754-4DC8-9B36-7A1C1898F84D}">
      <text>
        <r>
          <rPr>
            <b/>
            <sz val="8"/>
            <color indexed="81"/>
            <rFont val="Tahoma"/>
            <family val="2"/>
          </rPr>
          <t xml:space="preserve">Freeman, Ken:
</t>
        </r>
        <r>
          <rPr>
            <b/>
            <u/>
            <sz val="8"/>
            <color indexed="81"/>
            <rFont val="Tahoma"/>
            <family val="2"/>
          </rPr>
          <t>GGC, 10K, 12/31/11, cover page</t>
        </r>
        <r>
          <rPr>
            <b/>
            <sz val="8"/>
            <color indexed="81"/>
            <rFont val="Tahoma"/>
            <family val="2"/>
          </rPr>
          <t>:</t>
        </r>
        <r>
          <rPr>
            <sz val="8"/>
            <color indexed="81"/>
            <rFont val="Tahoma"/>
            <family val="2"/>
          </rPr>
          <t xml:space="preserve">
"Outstanding at February 21, 2012
Common Stock, $0.01 par value 34,240,377 shares"</t>
        </r>
      </text>
    </comment>
    <comment ref="B54" authorId="0" shapeId="0" xr:uid="{734D5B81-7D00-4C82-9259-4B7CFBFC732B}">
      <text>
        <r>
          <rPr>
            <b/>
            <sz val="8"/>
            <color indexed="81"/>
            <rFont val="Tahoma"/>
            <family val="2"/>
          </rPr>
          <t xml:space="preserve">Freeman, Ken:
</t>
        </r>
        <r>
          <rPr>
            <b/>
            <u/>
            <sz val="8"/>
            <color indexed="81"/>
            <rFont val="Tahoma"/>
            <family val="2"/>
          </rPr>
          <t>GGC, 10K, 12/31/11, pg. 54</t>
        </r>
        <r>
          <rPr>
            <b/>
            <sz val="8"/>
            <color indexed="81"/>
            <rFont val="Tahoma"/>
            <family val="2"/>
          </rPr>
          <t>:</t>
        </r>
        <r>
          <rPr>
            <sz val="8"/>
            <color indexed="81"/>
            <rFont val="Tahoma"/>
            <family val="2"/>
          </rPr>
          <t xml:space="preserve">
"Long-term debt" = $497.464 million +
"Lease financing obligation" = $109.899 million</t>
        </r>
      </text>
    </comment>
    <comment ref="B55" authorId="0" shapeId="0" xr:uid="{6BDC0E43-8AC5-4107-B553-935BC5A56B69}">
      <text>
        <r>
          <rPr>
            <b/>
            <sz val="8"/>
            <color indexed="81"/>
            <rFont val="Tahoma"/>
            <family val="2"/>
          </rPr>
          <t xml:space="preserve">Freeman, Ken:
</t>
        </r>
        <r>
          <rPr>
            <b/>
            <u/>
            <sz val="8"/>
            <color indexed="81"/>
            <rFont val="Tahoma"/>
            <family val="2"/>
          </rPr>
          <t>GGC, 10K, 12/31/11, pg. 54</t>
        </r>
        <r>
          <rPr>
            <b/>
            <sz val="8"/>
            <color indexed="81"/>
            <rFont val="Tahoma"/>
            <family val="2"/>
          </rPr>
          <t>:</t>
        </r>
        <r>
          <rPr>
            <sz val="8"/>
            <color indexed="81"/>
            <rFont val="Tahoma"/>
            <family val="2"/>
          </rPr>
          <t xml:space="preserve">
"Cash and cash equivalents" = $88.575 million</t>
        </r>
      </text>
    </comment>
    <comment ref="B61" authorId="0" shapeId="0" xr:uid="{465BE348-89A9-4032-ACA4-9F857BCBFAF9}">
      <text>
        <r>
          <rPr>
            <b/>
            <sz val="8"/>
            <color indexed="81"/>
            <rFont val="Tahoma"/>
            <family val="2"/>
          </rPr>
          <t xml:space="preserve">Freeman, Ken:
</t>
        </r>
        <r>
          <rPr>
            <b/>
            <u/>
            <sz val="8"/>
            <color indexed="81"/>
            <rFont val="Tahoma"/>
            <family val="2"/>
          </rPr>
          <t>GGC, 10K, 12/31/11, pg. 55</t>
        </r>
        <r>
          <rPr>
            <b/>
            <sz val="8"/>
            <color indexed="81"/>
            <rFont val="Tahoma"/>
            <family val="2"/>
          </rPr>
          <t>:</t>
        </r>
        <r>
          <rPr>
            <sz val="8"/>
            <color indexed="81"/>
            <rFont val="Tahoma"/>
            <family val="2"/>
          </rPr>
          <t xml:space="preserve">
"Net sales" = $3,222.884 million</t>
        </r>
      </text>
    </comment>
    <comment ref="B63" authorId="0" shapeId="0" xr:uid="{E3C1E821-B090-4AB3-B4FA-A0BA82967802}">
      <text>
        <r>
          <rPr>
            <b/>
            <sz val="8"/>
            <color indexed="81"/>
            <rFont val="Tahoma"/>
            <family val="2"/>
          </rPr>
          <t xml:space="preserve">Freeman, Ken:
</t>
        </r>
        <r>
          <rPr>
            <b/>
            <u/>
            <sz val="8"/>
            <color indexed="81"/>
            <rFont val="Tahoma"/>
            <family val="2"/>
          </rPr>
          <t>GGC, 10K, 12/31/11, pg. 55</t>
        </r>
        <r>
          <rPr>
            <b/>
            <sz val="8"/>
            <color indexed="81"/>
            <rFont val="Tahoma"/>
            <family val="2"/>
          </rPr>
          <t>:</t>
        </r>
        <r>
          <rPr>
            <sz val="8"/>
            <color indexed="81"/>
            <rFont val="Tahoma"/>
            <family val="2"/>
          </rPr>
          <t xml:space="preserve">
"Operating income (loss)" = $124.599 million</t>
        </r>
      </text>
    </comment>
    <comment ref="B64" authorId="0" shapeId="0" xr:uid="{9673708F-990A-4EA5-99CA-9C21E94CA810}">
      <text>
        <r>
          <rPr>
            <b/>
            <sz val="8"/>
            <color indexed="81"/>
            <rFont val="Tahoma"/>
            <family val="2"/>
          </rPr>
          <t xml:space="preserve">Freeman, Ken:
</t>
        </r>
        <r>
          <rPr>
            <b/>
            <u/>
            <sz val="8"/>
            <color indexed="81"/>
            <rFont val="Tahoma"/>
            <family val="2"/>
          </rPr>
          <t>GGC, 10K, 12/31/11, pg. 55</t>
        </r>
        <r>
          <rPr>
            <b/>
            <sz val="8"/>
            <color indexed="81"/>
            <rFont val="Tahoma"/>
            <family val="2"/>
          </rPr>
          <t>:</t>
        </r>
        <r>
          <rPr>
            <sz val="8"/>
            <color indexed="81"/>
            <rFont val="Tahoma"/>
            <family val="2"/>
          </rPr>
          <t xml:space="preserve">
"Long-lived asset impairment charges" of $8.318 million
"Restructuring costs" of $3.271 million
"(Gain) loss on sale of assets" of ($1.150) million</t>
        </r>
      </text>
    </comment>
    <comment ref="B65" authorId="0" shapeId="0" xr:uid="{D357DDD1-8259-4E18-A106-23AFED4B2F52}">
      <text>
        <r>
          <rPr>
            <b/>
            <sz val="8"/>
            <color indexed="81"/>
            <rFont val="Tahoma"/>
            <family val="2"/>
          </rPr>
          <t xml:space="preserve">Freeman, Ken:
</t>
        </r>
        <r>
          <rPr>
            <b/>
            <u/>
            <sz val="8"/>
            <color indexed="81"/>
            <rFont val="Tahoma"/>
            <family val="2"/>
          </rPr>
          <t>GGC, 10K, 12/31/11, pg. 58</t>
        </r>
        <r>
          <rPr>
            <b/>
            <sz val="8"/>
            <color indexed="81"/>
            <rFont val="Tahoma"/>
            <family val="2"/>
          </rPr>
          <t>:</t>
        </r>
        <r>
          <rPr>
            <sz val="8"/>
            <color indexed="81"/>
            <rFont val="Tahoma"/>
            <family val="2"/>
          </rPr>
          <t xml:space="preserve">
"Depreciation and amortization" = $101.522 million</t>
        </r>
      </text>
    </comment>
    <comment ref="B68" authorId="0" shapeId="0" xr:uid="{CE7594D5-78FE-4FF7-BD37-852B82979F28}">
      <text>
        <r>
          <rPr>
            <b/>
            <sz val="8"/>
            <color indexed="81"/>
            <rFont val="Tahoma"/>
            <family val="2"/>
          </rPr>
          <t xml:space="preserve">Freeman, Ken:
</t>
        </r>
        <r>
          <rPr>
            <b/>
            <u/>
            <sz val="8"/>
            <color indexed="81"/>
            <rFont val="Tahoma"/>
            <family val="2"/>
          </rPr>
          <t>GGC, 10K, 12/31/11, pg. 58</t>
        </r>
        <r>
          <rPr>
            <b/>
            <sz val="8"/>
            <color indexed="81"/>
            <rFont val="Tahoma"/>
            <family val="2"/>
          </rPr>
          <t>:</t>
        </r>
        <r>
          <rPr>
            <sz val="8"/>
            <color indexed="81"/>
            <rFont val="Tahoma"/>
            <family val="2"/>
          </rPr>
          <t xml:space="preserve">
"Capital expenditures" = $66.382 million</t>
        </r>
      </text>
    </comment>
    <comment ref="B72" authorId="0" shapeId="0" xr:uid="{A7C25406-8763-4772-A224-F5FE2D6F030C}">
      <text>
        <r>
          <rPr>
            <b/>
            <sz val="8"/>
            <color indexed="81"/>
            <rFont val="Tahoma"/>
            <family val="2"/>
          </rPr>
          <t xml:space="preserve">Freeman, Ken:
</t>
        </r>
        <r>
          <rPr>
            <b/>
            <u/>
            <sz val="8"/>
            <color indexed="81"/>
            <rFont val="Tahoma"/>
            <family val="2"/>
          </rPr>
          <t>GGC, 10K, 12/31/11, pg. 55</t>
        </r>
        <r>
          <rPr>
            <b/>
            <sz val="8"/>
            <color indexed="81"/>
            <rFont val="Tahoma"/>
            <family val="2"/>
          </rPr>
          <t>:</t>
        </r>
        <r>
          <rPr>
            <sz val="8"/>
            <color indexed="81"/>
            <rFont val="Tahoma"/>
            <family val="2"/>
          </rPr>
          <t xml:space="preserve">
"Net income" = $57.757 million</t>
        </r>
      </text>
    </comment>
    <comment ref="B80" authorId="0" shapeId="0" xr:uid="{9ACC12BC-0176-4F70-90C9-4E5D43543F4E}">
      <text>
        <r>
          <rPr>
            <b/>
            <sz val="8"/>
            <color indexed="81"/>
            <rFont val="Tahoma"/>
            <family val="2"/>
          </rPr>
          <t xml:space="preserve">Freeman, Ken:
</t>
        </r>
        <r>
          <rPr>
            <b/>
            <u/>
            <sz val="8"/>
            <color indexed="81"/>
            <rFont val="Tahoma"/>
            <family val="2"/>
          </rPr>
          <t>HUN, 10Q, 6/30/07, pg. 8</t>
        </r>
        <r>
          <rPr>
            <b/>
            <sz val="8"/>
            <color indexed="81"/>
            <rFont val="Tahoma"/>
            <family val="2"/>
          </rPr>
          <t>:</t>
        </r>
        <r>
          <rPr>
            <sz val="8"/>
            <color indexed="81"/>
            <rFont val="Tahoma"/>
            <family val="2"/>
          </rPr>
          <t xml:space="preserve">
"On July 12, 2007, we entered into an Agreement and Plan of Merger (the "Merger Agreement") with Hexion Specialty Chemicals, Inc...If the Merger is completed, each share of our common stock that our stockholders own at the effective time of the Merger (unless the stockholder properly exercises appraisal rights under Delaware law) will be cancelled and converted into the right to receive, without interest, $28.00 in cash..."</t>
        </r>
      </text>
    </comment>
    <comment ref="B81" authorId="0" shapeId="0" xr:uid="{19351D47-1A0B-45BF-988A-417AD143668D}">
      <text>
        <r>
          <rPr>
            <b/>
            <sz val="8"/>
            <color indexed="81"/>
            <rFont val="Tahoma"/>
            <family val="2"/>
          </rPr>
          <t xml:space="preserve">Freeman, Ken:
</t>
        </r>
        <r>
          <rPr>
            <b/>
            <u/>
            <sz val="8"/>
            <color indexed="81"/>
            <rFont val="Tahoma"/>
            <family val="2"/>
          </rPr>
          <t>HUN, 10Q, 6/30/07, cover page</t>
        </r>
        <r>
          <rPr>
            <b/>
            <sz val="8"/>
            <color indexed="81"/>
            <rFont val="Tahoma"/>
            <family val="2"/>
          </rPr>
          <t>:</t>
        </r>
        <r>
          <rPr>
            <sz val="8"/>
            <color indexed="81"/>
            <rFont val="Tahoma"/>
            <family val="2"/>
          </rPr>
          <t xml:space="preserve">
"On August 3, 2007, 222,005,083 shares of common stock of Huntsman Corporation were outstanding and 2,728 units of membership interests of Huntsman International LLC were outstanding. There is no established trading market for Huntsman International LLC's units of membership interests. All of Huntsman International LLC's units of membership interests are held by Huntsman Corporation"</t>
        </r>
      </text>
    </comment>
    <comment ref="B84" authorId="0" shapeId="0" xr:uid="{CDB93D45-851B-4317-930F-66A9A23D7AFE}">
      <text>
        <r>
          <rPr>
            <b/>
            <sz val="8"/>
            <color indexed="81"/>
            <rFont val="Tahoma"/>
            <family val="2"/>
          </rPr>
          <t xml:space="preserve">Freeman, Ken:
</t>
        </r>
        <r>
          <rPr>
            <b/>
            <u/>
            <sz val="8"/>
            <color indexed="81"/>
            <rFont val="Tahoma"/>
            <family val="2"/>
          </rPr>
          <t>HUN, 10Q, 6/30/07, pg. 1</t>
        </r>
        <r>
          <rPr>
            <b/>
            <sz val="8"/>
            <color indexed="81"/>
            <rFont val="Tahoma"/>
            <family val="2"/>
          </rPr>
          <t>:</t>
        </r>
        <r>
          <rPr>
            <sz val="8"/>
            <color indexed="81"/>
            <rFont val="Tahoma"/>
            <family val="2"/>
          </rPr>
          <t xml:space="preserve">
"Current portion of long-term debt" = $258.8 million +
"Long-term debt" = $3,524.6 million</t>
        </r>
      </text>
    </comment>
    <comment ref="B85" authorId="0" shapeId="0" xr:uid="{511809AD-B3AB-45CE-B139-B8FED1FFCF51}">
      <text>
        <r>
          <rPr>
            <b/>
            <sz val="8"/>
            <color indexed="81"/>
            <rFont val="Tahoma"/>
            <family val="2"/>
          </rPr>
          <t xml:space="preserve">Freeman, Ken:
</t>
        </r>
        <r>
          <rPr>
            <b/>
            <u/>
            <sz val="8"/>
            <color indexed="81"/>
            <rFont val="Tahoma"/>
            <family val="2"/>
          </rPr>
          <t>HUN, 10Q, 6/30/07, pg. 1</t>
        </r>
        <r>
          <rPr>
            <b/>
            <sz val="8"/>
            <color indexed="81"/>
            <rFont val="Tahoma"/>
            <family val="2"/>
          </rPr>
          <t>:</t>
        </r>
        <r>
          <rPr>
            <sz val="8"/>
            <color indexed="81"/>
            <rFont val="Tahoma"/>
            <family val="2"/>
          </rPr>
          <t xml:space="preserve">
"Cash and cash equivalents" = $167.5 million</t>
        </r>
      </text>
    </comment>
    <comment ref="B87" authorId="0" shapeId="0" xr:uid="{CBF30D25-4E93-4B21-BC9D-0F23E09C7DB7}">
      <text>
        <r>
          <rPr>
            <b/>
            <sz val="8"/>
            <color indexed="81"/>
            <rFont val="Tahoma"/>
            <family val="2"/>
          </rPr>
          <t xml:space="preserve">Freeman, Ken:
</t>
        </r>
        <r>
          <rPr>
            <b/>
            <u/>
            <sz val="8"/>
            <color indexed="81"/>
            <rFont val="Tahoma"/>
            <family val="2"/>
          </rPr>
          <t>HUN, 10Q, 6/30/07, pg. 1</t>
        </r>
        <r>
          <rPr>
            <b/>
            <sz val="8"/>
            <color indexed="81"/>
            <rFont val="Tahoma"/>
            <family val="2"/>
          </rPr>
          <t>:</t>
        </r>
        <r>
          <rPr>
            <sz val="8"/>
            <color indexed="81"/>
            <rFont val="Tahoma"/>
            <family val="2"/>
          </rPr>
          <t xml:space="preserve">
"Mandatory convertible preferred stock" = $287.5 million</t>
        </r>
      </text>
    </comment>
    <comment ref="B88" authorId="0" shapeId="0" xr:uid="{BF05CD0D-0DDC-44AA-8613-EE823F0A64E9}">
      <text>
        <r>
          <rPr>
            <b/>
            <sz val="8"/>
            <color indexed="81"/>
            <rFont val="Tahoma"/>
            <family val="2"/>
          </rPr>
          <t xml:space="preserve">Freeman, Ken:
</t>
        </r>
        <r>
          <rPr>
            <b/>
            <u/>
            <sz val="8"/>
            <color indexed="81"/>
            <rFont val="Tahoma"/>
            <family val="2"/>
          </rPr>
          <t>HUN, 10Q, 6/30/07, pg. 1</t>
        </r>
        <r>
          <rPr>
            <b/>
            <sz val="8"/>
            <color indexed="81"/>
            <rFont val="Tahoma"/>
            <family val="2"/>
          </rPr>
          <t>:</t>
        </r>
        <r>
          <rPr>
            <sz val="8"/>
            <color indexed="81"/>
            <rFont val="Tahoma"/>
            <family val="2"/>
          </rPr>
          <t xml:space="preserve">
"Minority interests in common stock of consolidated subsidiaries" = $23.9 million</t>
        </r>
      </text>
    </comment>
    <comment ref="B89" authorId="0" shapeId="0" xr:uid="{1E9AD3FD-B908-4516-8145-25C80346A8A3}">
      <text>
        <r>
          <rPr>
            <b/>
            <sz val="8"/>
            <color indexed="81"/>
            <rFont val="Tahoma"/>
            <family val="2"/>
          </rPr>
          <t xml:space="preserve">Freeman, Ken:
</t>
        </r>
        <r>
          <rPr>
            <b/>
            <u/>
            <sz val="8"/>
            <color indexed="81"/>
            <rFont val="Tahoma"/>
            <family val="2"/>
          </rPr>
          <t>HUN, 10Q, 6/30/07, pg. 1</t>
        </r>
        <r>
          <rPr>
            <b/>
            <sz val="8"/>
            <color indexed="81"/>
            <rFont val="Tahoma"/>
            <family val="2"/>
          </rPr>
          <t>:</t>
        </r>
        <r>
          <rPr>
            <sz val="8"/>
            <color indexed="81"/>
            <rFont val="Tahoma"/>
            <family val="2"/>
          </rPr>
          <t xml:space="preserve">
"Investment in unconsolidated affiliates" = $215.9 million</t>
        </r>
      </text>
    </comment>
    <comment ref="F91" authorId="0" shapeId="0" xr:uid="{35188EA4-5E99-4538-A28D-7F79F98A45B7}">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"Total revenues, 6 mos 6/30/06" = $4,688.0 million</t>
        </r>
      </text>
    </comment>
    <comment ref="G91" authorId="0" shapeId="0" xr:uid="{8835F4F6-7A40-4DDE-BE38-4F6289A4D416}">
      <text>
        <r>
          <rPr>
            <b/>
            <sz val="8"/>
            <color indexed="81"/>
            <rFont val="Tahoma"/>
            <family val="2"/>
          </rPr>
          <t xml:space="preserve">Freeman, Ken:
</t>
        </r>
        <r>
          <rPr>
            <b/>
            <u/>
            <sz val="8"/>
            <color indexed="81"/>
            <rFont val="Tahoma"/>
            <family val="2"/>
          </rPr>
          <t>HUN, 10K, 12/31/06, pg. F-4</t>
        </r>
        <r>
          <rPr>
            <b/>
            <sz val="8"/>
            <color indexed="81"/>
            <rFont val="Tahoma"/>
            <family val="2"/>
          </rPr>
          <t>:</t>
        </r>
        <r>
          <rPr>
            <sz val="8"/>
            <color indexed="81"/>
            <rFont val="Tahoma"/>
            <family val="2"/>
          </rPr>
          <t xml:space="preserve">
"Total revenues" = $10,623.6 million</t>
        </r>
      </text>
    </comment>
    <comment ref="H91" authorId="0" shapeId="0" xr:uid="{FA333541-98F6-45A3-8CD7-47CF09290299}">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"Total revenues, 6 mos 6/30/07" = $4,804.5 million</t>
        </r>
      </text>
    </comment>
    <comment ref="F92" authorId="0" shapeId="0" xr:uid="{B900BCA6-AD40-491E-90C6-5C79E702EEB9}">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"Operating income, 6 mos 6/30/06" = $444.7 million</t>
        </r>
      </text>
    </comment>
    <comment ref="G92" authorId="0" shapeId="0" xr:uid="{C26B5B6E-81F2-406E-B357-339F2E863DC6}">
      <text>
        <r>
          <rPr>
            <b/>
            <sz val="8"/>
            <color indexed="81"/>
            <rFont val="Tahoma"/>
            <family val="2"/>
          </rPr>
          <t xml:space="preserve">Freeman, Ken:
</t>
        </r>
        <r>
          <rPr>
            <b/>
            <u/>
            <sz val="8"/>
            <color indexed="81"/>
            <rFont val="Tahoma"/>
            <family val="2"/>
          </rPr>
          <t>HUN, 10K, 12/31/06, pg. F-4</t>
        </r>
        <r>
          <rPr>
            <b/>
            <sz val="8"/>
            <color indexed="81"/>
            <rFont val="Tahoma"/>
            <family val="2"/>
          </rPr>
          <t>:</t>
        </r>
        <r>
          <rPr>
            <sz val="8"/>
            <color indexed="81"/>
            <rFont val="Tahoma"/>
            <family val="2"/>
          </rPr>
          <t xml:space="preserve">
"Operating Income" = $736.5 million</t>
        </r>
      </text>
    </comment>
    <comment ref="H92" authorId="0" shapeId="0" xr:uid="{DE38FADF-85A3-447E-A48C-21B304B66CC8}">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"Operating income, 6 mos 6/30/07" = $242.9 million</t>
        </r>
      </text>
    </comment>
    <comment ref="F93" authorId="0" shapeId="0" xr:uid="{45E298A8-A3C6-4DF4-ADB6-3B391C885423}">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"Restructuring, impairment and plant closing costs, 6 mos 6/30/06" = $17.1 million +
"Other operating expense (income), 6 mos 6/30/06" = ($94.3) million</t>
        </r>
      </text>
    </comment>
    <comment ref="G93" authorId="0" shapeId="0" xr:uid="{AE337F6A-8640-4CDF-8691-0AAA1CDCDCB9}">
      <text>
        <r>
          <rPr>
            <b/>
            <sz val="8"/>
            <color indexed="81"/>
            <rFont val="Tahoma"/>
            <family val="2"/>
          </rPr>
          <t xml:space="preserve">Freeman, Ken:
</t>
        </r>
        <r>
          <rPr>
            <b/>
            <u/>
            <sz val="8"/>
            <color indexed="81"/>
            <rFont val="Tahoma"/>
            <family val="2"/>
          </rPr>
          <t>HUN, 10K, 12/31/06, pg. F-4</t>
        </r>
        <r>
          <rPr>
            <b/>
            <sz val="8"/>
            <color indexed="81"/>
            <rFont val="Tahoma"/>
            <family val="2"/>
          </rPr>
          <t>:</t>
        </r>
        <r>
          <rPr>
            <sz val="8"/>
            <color indexed="81"/>
            <rFont val="Tahoma"/>
            <family val="2"/>
          </rPr>
          <t xml:space="preserve">
"Restructuring, impairment and plant closing costs" = $20.0 million +
"Other operating (income) expense" = ($127.7) million</t>
        </r>
      </text>
    </comment>
    <comment ref="H93" authorId="0" shapeId="0" xr:uid="{82FC21D0-C8DF-43C8-921D-DAA3535BF438}">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"Restructuring, impairment and plant closing costs, 6 mos 6/30/07" = $24.4 million +
"Other operating expense (income), 6 mos 6/30/07" = $5.3 million</t>
        </r>
      </text>
    </comment>
    <comment ref="F94" authorId="0" shapeId="0" xr:uid="{CAD907D4-9665-4938-A628-D523F23EFB86}">
      <text>
        <r>
          <rPr>
            <b/>
            <sz val="8"/>
            <color indexed="81"/>
            <rFont val="Tahoma"/>
            <family val="2"/>
          </rPr>
          <t xml:space="preserve">Freeman, Ken:
</t>
        </r>
        <r>
          <rPr>
            <b/>
            <u/>
            <sz val="8"/>
            <color indexed="81"/>
            <rFont val="Tahoma"/>
            <family val="2"/>
          </rPr>
          <t>HUN, 10Q, 6/30/07, pg. 3</t>
        </r>
        <r>
          <rPr>
            <b/>
            <sz val="8"/>
            <color indexed="81"/>
            <rFont val="Tahoma"/>
            <family val="2"/>
          </rPr>
          <t>:</t>
        </r>
        <r>
          <rPr>
            <sz val="8"/>
            <color indexed="81"/>
            <rFont val="Tahoma"/>
            <family val="2"/>
          </rPr>
          <t xml:space="preserve">
"Depreciation and amortization, 6 mos 6/30/06" = $234.5 million</t>
        </r>
      </text>
    </comment>
    <comment ref="G94" authorId="0" shapeId="0" xr:uid="{1CF9A4A7-4A77-46AF-9D31-6BCC24D1D590}">
      <text>
        <r>
          <rPr>
            <b/>
            <sz val="8"/>
            <color indexed="81"/>
            <rFont val="Tahoma"/>
            <family val="2"/>
          </rPr>
          <t xml:space="preserve">Freeman, Ken:
</t>
        </r>
        <r>
          <rPr>
            <b/>
            <u/>
            <sz val="8"/>
            <color indexed="81"/>
            <rFont val="Tahoma"/>
            <family val="2"/>
          </rPr>
          <t>HUN, 10K, 12/31/06, pg. F-6</t>
        </r>
        <r>
          <rPr>
            <b/>
            <sz val="8"/>
            <color indexed="81"/>
            <rFont val="Tahoma"/>
            <family val="2"/>
          </rPr>
          <t>:</t>
        </r>
        <r>
          <rPr>
            <sz val="8"/>
            <color indexed="81"/>
            <rFont val="Tahoma"/>
            <family val="2"/>
          </rPr>
          <t xml:space="preserve">
"Depreciation and amortization" = $465.7 million</t>
        </r>
      </text>
    </comment>
    <comment ref="H94" authorId="0" shapeId="0" xr:uid="{C8D54864-02C7-43A3-974F-D5353D62FD1A}">
      <text>
        <r>
          <rPr>
            <b/>
            <sz val="8"/>
            <color indexed="81"/>
            <rFont val="Tahoma"/>
            <family val="2"/>
          </rPr>
          <t xml:space="preserve">Freeman, Ken:
</t>
        </r>
        <r>
          <rPr>
            <b/>
            <u/>
            <sz val="8"/>
            <color indexed="81"/>
            <rFont val="Tahoma"/>
            <family val="2"/>
          </rPr>
          <t>HUN, 10Q, 6/30/07, pg. 3</t>
        </r>
        <r>
          <rPr>
            <b/>
            <sz val="8"/>
            <color indexed="81"/>
            <rFont val="Tahoma"/>
            <family val="2"/>
          </rPr>
          <t>:</t>
        </r>
        <r>
          <rPr>
            <sz val="8"/>
            <color indexed="81"/>
            <rFont val="Tahoma"/>
            <family val="2"/>
          </rPr>
          <t xml:space="preserve">
"Depreciation and amortization, 6 mos 6/30/07" = $217.0 million</t>
        </r>
      </text>
    </comment>
    <comment ref="F96" authorId="0" shapeId="0" xr:uid="{14B4BE5F-1109-4474-AFA2-E5A68E81A99C}">
      <text>
        <r>
          <rPr>
            <b/>
            <sz val="8"/>
            <color indexed="81"/>
            <rFont val="Tahoma"/>
            <family val="2"/>
          </rPr>
          <t xml:space="preserve">Freeman, Ken:
</t>
        </r>
        <r>
          <rPr>
            <b/>
            <u/>
            <sz val="8"/>
            <color indexed="81"/>
            <rFont val="Tahoma"/>
            <family val="2"/>
          </rPr>
          <t>HUN, 10Q, 6/30/07, pg. 3</t>
        </r>
        <r>
          <rPr>
            <b/>
            <sz val="8"/>
            <color indexed="81"/>
            <rFont val="Tahoma"/>
            <family val="2"/>
          </rPr>
          <t>:</t>
        </r>
        <r>
          <rPr>
            <sz val="8"/>
            <color indexed="81"/>
            <rFont val="Tahoma"/>
            <family val="2"/>
          </rPr>
          <t xml:space="preserve">
"Capital expenditures, 6 mos 6/30/06" = $211.3 million</t>
        </r>
      </text>
    </comment>
    <comment ref="G96" authorId="0" shapeId="0" xr:uid="{35587CC2-E2CC-4E20-AD26-92C886CCF565}">
      <text>
        <r>
          <rPr>
            <b/>
            <sz val="8"/>
            <color indexed="81"/>
            <rFont val="Tahoma"/>
            <family val="2"/>
          </rPr>
          <t xml:space="preserve">Freeman, Ken:
</t>
        </r>
        <r>
          <rPr>
            <b/>
            <u/>
            <sz val="8"/>
            <color indexed="81"/>
            <rFont val="Tahoma"/>
            <family val="2"/>
          </rPr>
          <t>HUN, 10K, 12/31/06, pg. F-6</t>
        </r>
        <r>
          <rPr>
            <b/>
            <sz val="8"/>
            <color indexed="81"/>
            <rFont val="Tahoma"/>
            <family val="2"/>
          </rPr>
          <t>:</t>
        </r>
        <r>
          <rPr>
            <sz val="8"/>
            <color indexed="81"/>
            <rFont val="Tahoma"/>
            <family val="2"/>
          </rPr>
          <t xml:space="preserve">
"Capital expenditures" = $549.9 million</t>
        </r>
      </text>
    </comment>
    <comment ref="H96" authorId="0" shapeId="0" xr:uid="{E7FB4496-966B-42A5-BEEC-8F1C60A7D9D8}">
      <text>
        <r>
          <rPr>
            <b/>
            <sz val="8"/>
            <color indexed="81"/>
            <rFont val="Tahoma"/>
            <family val="2"/>
          </rPr>
          <t xml:space="preserve">Freeman, Ken:
</t>
        </r>
        <r>
          <rPr>
            <b/>
            <u/>
            <sz val="8"/>
            <color indexed="81"/>
            <rFont val="Tahoma"/>
            <family val="2"/>
          </rPr>
          <t>HUN, 10Q, 6/30/07, pg. 3</t>
        </r>
        <r>
          <rPr>
            <b/>
            <sz val="8"/>
            <color indexed="81"/>
            <rFont val="Tahoma"/>
            <family val="2"/>
          </rPr>
          <t>:</t>
        </r>
        <r>
          <rPr>
            <sz val="8"/>
            <color indexed="81"/>
            <rFont val="Tahoma"/>
            <family val="2"/>
          </rPr>
          <t xml:space="preserve">
"Capital expenditures, 6 mos 6/30/07" = $282.8 million</t>
        </r>
      </text>
    </comment>
    <comment ref="F98" authorId="0" shapeId="0" xr:uid="{7B20AB6F-9682-4A65-9F98-3D189A351CE5}">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"Income from continuing operations, 6 mos 6/30/06" = $226.6 million</t>
        </r>
      </text>
    </comment>
    <comment ref="G98" authorId="0" shapeId="0" xr:uid="{A100337F-69D0-4416-A339-B727387EFF94}">
      <text>
        <r>
          <rPr>
            <b/>
            <sz val="8"/>
            <color indexed="81"/>
            <rFont val="Tahoma"/>
            <family val="2"/>
          </rPr>
          <t xml:space="preserve">Freeman, Ken:
</t>
        </r>
        <r>
          <rPr>
            <b/>
            <u/>
            <sz val="8"/>
            <color indexed="81"/>
            <rFont val="Tahoma"/>
            <family val="2"/>
          </rPr>
          <t>HUN, 10K, 12/31/06, pg. F-4</t>
        </r>
        <r>
          <rPr>
            <b/>
            <sz val="8"/>
            <color indexed="81"/>
            <rFont val="Tahoma"/>
            <family val="2"/>
          </rPr>
          <t>:</t>
        </r>
        <r>
          <rPr>
            <sz val="8"/>
            <color indexed="81"/>
            <rFont val="Tahoma"/>
            <family val="2"/>
          </rPr>
          <t xml:space="preserve">
"Income (loss) from continuing operations" = $393.6 million</t>
        </r>
      </text>
    </comment>
    <comment ref="H98" authorId="0" shapeId="0" xr:uid="{4CE29D01-9743-462E-924E-797DD7815FAB}">
      <text>
        <r>
          <rPr>
            <b/>
            <sz val="8"/>
            <color indexed="81"/>
            <rFont val="Tahoma"/>
            <family val="2"/>
          </rPr>
          <t xml:space="preserve">Freeman, Ken:
</t>
        </r>
        <r>
          <rPr>
            <b/>
            <u/>
            <sz val="8"/>
            <color indexed="81"/>
            <rFont val="Tahoma"/>
            <family val="2"/>
          </rPr>
          <t>HUN, 10Q, 6/30/07, pg. 2</t>
        </r>
        <r>
          <rPr>
            <b/>
            <sz val="8"/>
            <color indexed="81"/>
            <rFont val="Tahoma"/>
            <family val="2"/>
          </rPr>
          <t>:</t>
        </r>
        <r>
          <rPr>
            <sz val="8"/>
            <color indexed="81"/>
            <rFont val="Tahoma"/>
            <family val="2"/>
          </rPr>
          <t xml:space="preserve">
"Income from continuing operations, 6 mos 6/30/07" = $101.6 million</t>
        </r>
      </text>
    </comment>
  </commentList>
</comments>
</file>

<file path=xl/sharedStrings.xml><?xml version="1.0" encoding="utf-8"?>
<sst xmlns="http://schemas.openxmlformats.org/spreadsheetml/2006/main" count="978" uniqueCount="592">
  <si>
    <t>WD-40 Financial Model</t>
  </si>
  <si>
    <t>PAGE</t>
  </si>
  <si>
    <t>Balance Sheet</t>
  </si>
  <si>
    <t>Income Statement</t>
  </si>
  <si>
    <t>WD-40 Balance Sheet</t>
  </si>
  <si>
    <t>(USD in thousands, except per share data)</t>
  </si>
  <si>
    <t>Cash and cash equivalents</t>
  </si>
  <si>
    <t>Trade and other accounts receivable, net</t>
  </si>
  <si>
    <t>Inventories</t>
  </si>
  <si>
    <t>Other current assets</t>
  </si>
  <si>
    <t>Total current assets</t>
  </si>
  <si>
    <t>Property and equipment, net</t>
  </si>
  <si>
    <t>Goodwill</t>
  </si>
  <si>
    <t>Other intangible assets, net</t>
  </si>
  <si>
    <t>Right-of-use assets</t>
  </si>
  <si>
    <t>Deferred tax assets, net</t>
  </si>
  <si>
    <t>Other assets</t>
  </si>
  <si>
    <t>Total assets</t>
  </si>
  <si>
    <t>*</t>
  </si>
  <si>
    <t>Accounts payable</t>
  </si>
  <si>
    <t>Accrued liabilities</t>
  </si>
  <si>
    <t>Accrued payroll and related expenses</t>
  </si>
  <si>
    <t>Short-term borrowings</t>
  </si>
  <si>
    <t>Income taxes payable</t>
  </si>
  <si>
    <t>Total current liabilities</t>
  </si>
  <si>
    <t>Long-term borrowings</t>
  </si>
  <si>
    <t>Deferred tax liabilities, net</t>
  </si>
  <si>
    <t>Long-term operating lease liabilities</t>
  </si>
  <si>
    <t>Other long-term liabilities</t>
  </si>
  <si>
    <t>Total liabilities</t>
  </si>
  <si>
    <t>Common stock</t>
  </si>
  <si>
    <t>Additional paid-in capital</t>
  </si>
  <si>
    <t>Retained earnings</t>
  </si>
  <si>
    <t>Accumulated other comprehensive income (loss)</t>
  </si>
  <si>
    <t>Total stockholders’ equity</t>
  </si>
  <si>
    <t>Total liabilities and stockholders’ equity</t>
  </si>
  <si>
    <t>Common stock held in treasury, at cost</t>
  </si>
  <si>
    <t>Check</t>
  </si>
  <si>
    <t>WD-40 Income Statement</t>
  </si>
  <si>
    <t>Net sales</t>
  </si>
  <si>
    <t>Cost of products sold</t>
  </si>
  <si>
    <t>Gross profit</t>
  </si>
  <si>
    <t>Selling, general and administrative</t>
  </si>
  <si>
    <t>Advertising and sales promotion</t>
  </si>
  <si>
    <t>Amortization of definite-lived intangible assets</t>
  </si>
  <si>
    <t>Interest income</t>
  </si>
  <si>
    <t>Interest expense</t>
  </si>
  <si>
    <t>Other (expense) income, net</t>
  </si>
  <si>
    <t>Provision for income taxes</t>
  </si>
  <si>
    <t>Net income</t>
  </si>
  <si>
    <t>Earnings per common share:</t>
  </si>
  <si>
    <t>Basic</t>
  </si>
  <si>
    <t>Diluted</t>
  </si>
  <si>
    <t>Shares used in per share calculations:</t>
  </si>
  <si>
    <t>Assets:</t>
  </si>
  <si>
    <t>Short-term investments</t>
  </si>
  <si>
    <t>Current deferred tax assets, net</t>
  </si>
  <si>
    <t>Liabilities and Shareholders' Equity:</t>
  </si>
  <si>
    <t>Revolving credit facility, current portion</t>
  </si>
  <si>
    <t>Revolving credit facility</t>
  </si>
  <si>
    <t>Shareholders' equity:</t>
  </si>
  <si>
    <t>WD-40 Assumptions</t>
  </si>
  <si>
    <t>Income Statement (non-debt items)</t>
  </si>
  <si>
    <t>EBITDA</t>
  </si>
  <si>
    <t>Income from operations (EBIT)</t>
  </si>
  <si>
    <t>Income before income taxes (EBT)</t>
  </si>
  <si>
    <t>Net sales (growth in sales)</t>
  </si>
  <si>
    <t>Advertising and sales promotion (as % of sales)</t>
  </si>
  <si>
    <t>Amortization (as % of sales)</t>
  </si>
  <si>
    <t>Other (expense) income, net (as % of sales)</t>
  </si>
  <si>
    <t>Provision for income taxes (Taxes / EBT)</t>
  </si>
  <si>
    <t>Gross profit margin</t>
  </si>
  <si>
    <t>EBITDA margin</t>
  </si>
  <si>
    <t>EBIT margin</t>
  </si>
  <si>
    <t>Net income margin</t>
  </si>
  <si>
    <t>10 yr AVG</t>
  </si>
  <si>
    <t>5 yr AVG</t>
  </si>
  <si>
    <t>3 yr AVG</t>
  </si>
  <si>
    <t>DRIVER</t>
  </si>
  <si>
    <t>Rationale</t>
  </si>
  <si>
    <t>Being conservative; Low End of 7-10% LT Segment guidance (pg. 21 of 58 - 1/10/25 Presentation)</t>
  </si>
  <si>
    <t>Inconsistent (4 negative / 6 positive) &amp; ZERO will result in NO IMPACT</t>
  </si>
  <si>
    <t xml:space="preserve">EBIT margin increased until 2017; contracting since 2017 due to Covid / Supply Chain / Inflation (should increase LT =&gt; 55/30/25 rule) </t>
  </si>
  <si>
    <r>
      <t xml:space="preserve">Steady increase 2016-2022, DECREASE 2022-2024; </t>
    </r>
    <r>
      <rPr>
        <b/>
        <sz val="11"/>
        <color theme="1"/>
        <rFont val="Libre Franklin"/>
      </rPr>
      <t>55</t>
    </r>
    <r>
      <rPr>
        <sz val="11"/>
        <color theme="1"/>
        <rFont val="Libre Franklin"/>
      </rPr>
      <t>/30/25 Long-Term (WDFC Presentation pg. 39); 45-50% Guidance</t>
    </r>
  </si>
  <si>
    <r>
      <t>EBITDA margin increased until 2017; contracting since 2017 due to Covid / Supply Chain / Inflation (LT target 55/30/</t>
    </r>
    <r>
      <rPr>
        <b/>
        <sz val="11"/>
        <color theme="1"/>
        <rFont val="Libre Franklin"/>
      </rPr>
      <t>25</t>
    </r>
    <r>
      <rPr>
        <sz val="11"/>
        <color theme="1"/>
        <rFont val="Libre Franklin"/>
      </rPr>
      <t xml:space="preserve"> rule)</t>
    </r>
  </si>
  <si>
    <r>
      <t>Steady decrease since 2016 (2024 uptick in NOTE); Being conservaitve; 55/</t>
    </r>
    <r>
      <rPr>
        <b/>
        <sz val="11"/>
        <color theme="1"/>
        <rFont val="Libre Franklin"/>
      </rPr>
      <t>30</t>
    </r>
    <r>
      <rPr>
        <sz val="11"/>
        <color theme="1"/>
        <rFont val="Libre Franklin"/>
      </rPr>
      <t>/25 rule (pg. 39 of 1/10/25 Presentation)</t>
    </r>
  </si>
  <si>
    <t xml:space="preserve">Declined 2015-2020, uptick in 2024; Mgmt guidance of 6% (pg. 46 of 1/10/25 presentation) </t>
  </si>
  <si>
    <t>3-yr average = 0.2%; Has been declining long-term; matching the trend; flat last 2 years</t>
  </si>
  <si>
    <t>U.S. Corp Tax Rate of 21% (since 2017 Tax Cuts and Jobs Act), but FOREIGN taxes increase this (see note)</t>
  </si>
  <si>
    <r>
      <t xml:space="preserve">Gross margin increased until 2017; contracting since 2017-2022 due to Covid / Supply Chain / Inflation, but ticking up 2023-2024 (LT target </t>
    </r>
    <r>
      <rPr>
        <b/>
        <sz val="11"/>
        <color theme="1"/>
        <rFont val="Libre Franklin"/>
      </rPr>
      <t>55</t>
    </r>
    <r>
      <rPr>
        <sz val="11"/>
        <color theme="1"/>
        <rFont val="Libre Franklin"/>
      </rPr>
      <t>/30/25 rule)</t>
    </r>
  </si>
  <si>
    <t>Decreasing since 2018 higher tax rates due to expanding Int'l business has reduced net margin</t>
  </si>
  <si>
    <t>Balance Sheet (Current Assets)</t>
  </si>
  <si>
    <r>
      <t>Cash &amp; ST Investments (</t>
    </r>
    <r>
      <rPr>
        <b/>
        <sz val="11"/>
        <color theme="1"/>
        <rFont val="Libre Franklin"/>
      </rPr>
      <t>REQUIRED</t>
    </r>
    <r>
      <rPr>
        <sz val="11"/>
        <color theme="1"/>
        <rFont val="Libre Franklin"/>
      </rPr>
      <t>) as % of sales</t>
    </r>
  </si>
  <si>
    <t>Accounts receivable, net as % of sales</t>
  </si>
  <si>
    <t>Inventories as % of COGS</t>
  </si>
  <si>
    <t>Other current assets as % of sales</t>
  </si>
  <si>
    <t>Beginning</t>
  </si>
  <si>
    <t>Additions</t>
  </si>
  <si>
    <t>Subtractions</t>
  </si>
  <si>
    <t>Ending</t>
  </si>
  <si>
    <t>Beg PP&amp;E</t>
  </si>
  <si>
    <t>+ Capex</t>
  </si>
  <si>
    <t>- Depreciation</t>
  </si>
  <si>
    <t>= Ending PP&amp;E</t>
  </si>
  <si>
    <t>Balance Sheet (Non-Current Assets)</t>
  </si>
  <si>
    <t>Other assets as % of sales</t>
  </si>
  <si>
    <t>Accounts payable as % of COGS</t>
  </si>
  <si>
    <t>Balance Sheet (NON-Debt Current Liabilities)</t>
  </si>
  <si>
    <t>Accrued liabilities as % of sales</t>
  </si>
  <si>
    <t>Accrued payroll &amp; related expenses as % of sales</t>
  </si>
  <si>
    <t>Debt schedule</t>
  </si>
  <si>
    <t>Income taxes payable as % of sales</t>
  </si>
  <si>
    <t>Balance Sheet (NON-Debt Non-Current Liabilities)</t>
  </si>
  <si>
    <t>Other long-term liabilities as % of sales</t>
  </si>
  <si>
    <t>Shareholders' equity</t>
  </si>
  <si>
    <t>Treasury stock</t>
  </si>
  <si>
    <t>Don't Calc Anything Here</t>
  </si>
  <si>
    <t>Downward trend long-term with an uptick in 2021 due to Covid so, went with the 3-yr avg, flat last 3 years</t>
  </si>
  <si>
    <t>Avg. ex-Covid is 17.4%, average since Covid is 18.5% and on an upward trend so, I went with 20%</t>
  </si>
  <si>
    <t>Pre-Covid avg. is 19.9%; Covid to today avg. is 33.7%; likely to be higher moving forward but not as high as recently, went with 25%</t>
  </si>
  <si>
    <t>Pre-Covid avg. is 2.0%; Covid to today avg. is 2.8%%; on a downward trend so, went with 2% matching historical average</t>
  </si>
  <si>
    <t>Pre-Covid avg. is 0.8%; Covid to today avg. is 2.3%%; flat last 2 years so, stuck with that, 2.5%</t>
  </si>
  <si>
    <t>Pre-Covid avg. is 4.8%; 5-yr avg is 5.3% and it has been 5.3% in 3 out of last 5 years so, went with that</t>
  </si>
  <si>
    <t>Close to 4% long-term, recent upward trend, went with 4.0%</t>
  </si>
  <si>
    <t>Higher Pre vs. Post Covid, lower recently, 3 and 5-yr avg are the same so, went with 0.1%</t>
  </si>
  <si>
    <t>Noticeable change 2018-2019, higher since, 2.4% 3 out of last 5 years, went with 5-yr avg of 2.4%</t>
  </si>
  <si>
    <t>New $50mm plan good through 8/2025.  Last 4 plans averaged $60mm completed out of $75mm authorized (80% completion).  As of November 30, 2024, the Company is authorized to purchase an additional $38.3 million under the 2023 Repurchase Plan.  Purchased $0.0 in 4Q24, $3.6mm in 1Q25.  80% of $50mm is $40mm.  Still have $38.3mm left with 9 mos remaining so, completed $11.7mm over 5 quarters ($2.34mm avg) with 3 left; 3 x 2.34 = 7.02mm</t>
  </si>
  <si>
    <t>Pre-Covid avg. is 10.7%; Covid to today avg. is 12.4%; choppy overall, higher post Covid, went with 3-yr avg 12.4%</t>
  </si>
  <si>
    <t>WD-40 Calculations</t>
  </si>
  <si>
    <t>Retained Earnings</t>
  </si>
  <si>
    <t>Beginning Balance (Previous Ending)</t>
  </si>
  <si>
    <t>Net Income</t>
  </si>
  <si>
    <t>Dividends Paid (from CFS)</t>
  </si>
  <si>
    <t>Ending Balance (CALCULATED)</t>
  </si>
  <si>
    <t>Check (Actual from Balance Sheet)</t>
  </si>
  <si>
    <t>PP&amp;E (Property, Plant &amp; Equipment)</t>
  </si>
  <si>
    <t>Capital Expenditures (Actual from CFS)</t>
  </si>
  <si>
    <t>Depreciation</t>
  </si>
  <si>
    <t>Depreciation (Calculated Below)</t>
  </si>
  <si>
    <t>Ending Balance (Actual from B/S)</t>
  </si>
  <si>
    <t>Depreciation &amp; Amortization (from CFS)</t>
  </si>
  <si>
    <t>Depreciation (D&amp;A - A)</t>
  </si>
  <si>
    <t>Total Combined</t>
  </si>
  <si>
    <t>% COGS</t>
  </si>
  <si>
    <t>% SG&amp;A</t>
  </si>
  <si>
    <t>Depreciation in COGS</t>
  </si>
  <si>
    <t>Depreciation in SG&amp;A</t>
  </si>
  <si>
    <t>Total Depreciation</t>
  </si>
  <si>
    <t>Clean COGS</t>
  </si>
  <si>
    <t>Clean SG&amp;A</t>
  </si>
  <si>
    <t>Cumulative effect of change in accounting principle</t>
  </si>
  <si>
    <t>Clean COGS (as % of sales)</t>
  </si>
  <si>
    <t>Clean SG&amp;A (as % of sales)</t>
  </si>
  <si>
    <t>Capital Expenditures (as % of sales)</t>
  </si>
  <si>
    <t>Mgmt guidance, January 2025, pg. 41 "Maintenance CAPEX of 1-2% of net sales per fiscal year" (Avg. ex 2017-2021 = 1.3%)</t>
  </si>
  <si>
    <t>Depreciation (as % of sales)</t>
  </si>
  <si>
    <t>Depreciation increasing after Capex build due to Real Estate purchase and development 2017-2021; went with 3-yr avg.</t>
  </si>
  <si>
    <t>GOODWILL (ACTUAL)</t>
  </si>
  <si>
    <t>KEEP FLAT (SAME) = NO Cash Flow</t>
  </si>
  <si>
    <t>Intangibles</t>
  </si>
  <si>
    <t>NEW Intangibles</t>
  </si>
  <si>
    <t>Amortization</t>
  </si>
  <si>
    <t>NEW Intangibles (NEW PURCHASES)</t>
  </si>
  <si>
    <t>Make ZERO (no assumption of increasing intangibles)</t>
  </si>
  <si>
    <t>Right-of-use assets (ACTUAL)</t>
  </si>
  <si>
    <t>Deferred tax assets, net (ACTUAL)</t>
  </si>
  <si>
    <t>Deferred tax liabilities, net (ACTUAL)</t>
  </si>
  <si>
    <t>Long-term operating lease liabilities (ACTUAL)</t>
  </si>
  <si>
    <t>Shareholder Info</t>
  </si>
  <si>
    <t>Dividend Payout Ratio (Dividends / Net Income)</t>
  </si>
  <si>
    <t>10-yr avg (long-term); Investor Presentation, January 2025, pg. 41, "Annual dividends targeted at &gt;50% of earnings"</t>
  </si>
  <si>
    <r>
      <t>Cash and ST Investments (</t>
    </r>
    <r>
      <rPr>
        <b/>
        <sz val="11"/>
        <color theme="1"/>
        <rFont val="Libre Franklin"/>
      </rPr>
      <t>REQUIRED</t>
    </r>
    <r>
      <rPr>
        <sz val="11"/>
        <color theme="1"/>
        <rFont val="Libre Franklin"/>
        <family val="2"/>
      </rPr>
      <t>)</t>
    </r>
  </si>
  <si>
    <t>Historical</t>
  </si>
  <si>
    <t>Projected</t>
  </si>
  <si>
    <t>Series A Notes - 3.39% fixed rate</t>
  </si>
  <si>
    <t>Series B Notes - 2.50% fixed rate</t>
  </si>
  <si>
    <t>Series C Notes - 2.69% fixed rate</t>
  </si>
  <si>
    <t>WD-40 Debt Schedule</t>
  </si>
  <si>
    <t>SHORT-TERM DEBT</t>
  </si>
  <si>
    <t>NEW REVOLVER</t>
  </si>
  <si>
    <t>Interest Rate</t>
  </si>
  <si>
    <t>Average Balance</t>
  </si>
  <si>
    <t>Interest Expense</t>
  </si>
  <si>
    <t>LONG-TERM DEBT</t>
  </si>
  <si>
    <t>OLD REVOLVER (Beginning)</t>
  </si>
  <si>
    <t>Paydown (5 years, 4/30/29)</t>
  </si>
  <si>
    <t>OLD REVOLVER (Ending)</t>
  </si>
  <si>
    <t>Revolving Credit Facility</t>
  </si>
  <si>
    <t>CASH</t>
  </si>
  <si>
    <t>Series A Notes Beginning</t>
  </si>
  <si>
    <t>Paydown (11/15/2032)</t>
  </si>
  <si>
    <t>Series A Notes Ending</t>
  </si>
  <si>
    <t>Series B Notes Beginning</t>
  </si>
  <si>
    <t>Paydown (11/15/2027)</t>
  </si>
  <si>
    <t>Series B Notes Ending</t>
  </si>
  <si>
    <t>Series C Notes Beginning</t>
  </si>
  <si>
    <t>Paydown (11/15/2030)</t>
  </si>
  <si>
    <t>Series C Notes Ending</t>
  </si>
  <si>
    <t>Summary</t>
  </si>
  <si>
    <t>LT Debt Interest</t>
  </si>
  <si>
    <t>ST Debt Interest</t>
  </si>
  <si>
    <t>Interest Expense Summary</t>
  </si>
  <si>
    <t>Total Interest Expense</t>
  </si>
  <si>
    <t>ST Debt</t>
  </si>
  <si>
    <t>LT Debt</t>
  </si>
  <si>
    <t>Total Debt</t>
  </si>
  <si>
    <t>Required CASH</t>
  </si>
  <si>
    <t>EXCESS CASH</t>
  </si>
  <si>
    <t>Total CASH</t>
  </si>
  <si>
    <t>Interest Income</t>
  </si>
  <si>
    <t>Cash Flow from Operations</t>
  </si>
  <si>
    <r>
      <rPr>
        <sz val="11"/>
        <color theme="1"/>
        <rFont val="Symbol"/>
        <family val="1"/>
        <charset val="2"/>
      </rPr>
      <t>D</t>
    </r>
    <r>
      <rPr>
        <sz val="11"/>
        <color theme="1"/>
        <rFont val="Libre Franklin"/>
        <family val="2"/>
      </rPr>
      <t xml:space="preserve"> in Operating Working Capital</t>
    </r>
  </si>
  <si>
    <t>Total Cash Flow from Operations</t>
  </si>
  <si>
    <t>Operating Working Capital ((CA-Cash) - (CL - ST Debt))</t>
  </si>
  <si>
    <t>Total Operating Assets</t>
  </si>
  <si>
    <t>Total Operating Liabilities</t>
  </si>
  <si>
    <t>Operating Assets (Cash Flow)</t>
  </si>
  <si>
    <t>Operating Liabilities (Cash Flow)</t>
  </si>
  <si>
    <t>Operating Working Capital (Cash Flow)</t>
  </si>
  <si>
    <t>Cash Flow from Investing</t>
  </si>
  <si>
    <t>Capital Expenditures</t>
  </si>
  <si>
    <r>
      <rPr>
        <sz val="11"/>
        <color theme="1"/>
        <rFont val="Symbol"/>
        <family val="1"/>
        <charset val="2"/>
      </rPr>
      <t>D</t>
    </r>
    <r>
      <rPr>
        <sz val="11"/>
        <color theme="1"/>
        <rFont val="Libre Franklin"/>
        <family val="2"/>
      </rPr>
      <t xml:space="preserve"> in Other Non-Current Assets</t>
    </r>
  </si>
  <si>
    <r>
      <rPr>
        <sz val="11"/>
        <color theme="1"/>
        <rFont val="Symbol"/>
        <family val="1"/>
        <charset val="2"/>
      </rPr>
      <t>D</t>
    </r>
    <r>
      <rPr>
        <sz val="11"/>
        <color theme="1"/>
        <rFont val="Libre Franklin"/>
        <family val="2"/>
      </rPr>
      <t xml:space="preserve"> in Other Non-Current Liabilites</t>
    </r>
  </si>
  <si>
    <t>Total Cash Flow from Investing</t>
  </si>
  <si>
    <t>Cash Flow from Financing</t>
  </si>
  <si>
    <t>OLD Revolver, current</t>
  </si>
  <si>
    <t>Short-term borrowings, current</t>
  </si>
  <si>
    <t>Share repurchases</t>
  </si>
  <si>
    <t>Accumulated other</t>
  </si>
  <si>
    <t>Dividends</t>
  </si>
  <si>
    <t>Total Cash Flow from Financing</t>
  </si>
  <si>
    <r>
      <t>Net Cash Flow (</t>
    </r>
    <r>
      <rPr>
        <b/>
        <sz val="11"/>
        <color theme="1"/>
        <rFont val="Symbol"/>
        <family val="1"/>
        <charset val="2"/>
      </rPr>
      <t>D</t>
    </r>
    <r>
      <rPr>
        <b/>
        <sz val="11"/>
        <color theme="1"/>
        <rFont val="Libre Franklin"/>
      </rPr>
      <t xml:space="preserve"> in Cash)</t>
    </r>
  </si>
  <si>
    <t>Cash Analysis</t>
  </si>
  <si>
    <t>Beginning Cash</t>
  </si>
  <si>
    <t>Change in Cash from CFS</t>
  </si>
  <si>
    <t>Net Cash Available at end of year</t>
  </si>
  <si>
    <t>EXCESS CASH / (REVOLVER)</t>
  </si>
  <si>
    <t>WD-40 Cash Flow Statement</t>
  </si>
  <si>
    <t>WACC - WD-40</t>
  </si>
  <si>
    <t>kd</t>
  </si>
  <si>
    <t>Tax Rate</t>
  </si>
  <si>
    <t>Debt</t>
  </si>
  <si>
    <t>Equity</t>
  </si>
  <si>
    <t>Total Cap</t>
  </si>
  <si>
    <t>Rf Rate</t>
  </si>
  <si>
    <t>Beta</t>
  </si>
  <si>
    <t>MRP</t>
  </si>
  <si>
    <t>Actual Capital Structure</t>
  </si>
  <si>
    <t>Target Capital Structure</t>
  </si>
  <si>
    <t>WACC</t>
  </si>
  <si>
    <r>
      <t>WACC = [((kd*(1-T)*(D/(D+E)))+(</t>
    </r>
    <r>
      <rPr>
        <b/>
        <u/>
        <sz val="11"/>
        <rFont val="Libre Franklin"/>
      </rPr>
      <t>ke</t>
    </r>
    <r>
      <rPr>
        <sz val="11"/>
        <rFont val="Libre Franklin"/>
      </rPr>
      <t>*(E/(D+E))]</t>
    </r>
  </si>
  <si>
    <r>
      <t>WACC = [((kd*(1-T)*(D/(D+E)))+((</t>
    </r>
    <r>
      <rPr>
        <b/>
        <u/>
        <sz val="11"/>
        <rFont val="Libre Franklin"/>
      </rPr>
      <t>Rf+B*(Rm-Rf)</t>
    </r>
    <r>
      <rPr>
        <sz val="11"/>
        <rFont val="Libre Franklin"/>
      </rPr>
      <t>)*(E/(D+E))]</t>
    </r>
  </si>
  <si>
    <t>FD Shares Out</t>
  </si>
  <si>
    <t>Market Cap</t>
  </si>
  <si>
    <t>Current</t>
  </si>
  <si>
    <t>Rate</t>
  </si>
  <si>
    <t>Series A Notes - 3.39%</t>
  </si>
  <si>
    <t>Series B Notes - 2.50%</t>
  </si>
  <si>
    <t>Series C Notes - 2.69%</t>
  </si>
  <si>
    <t>OCF</t>
  </si>
  <si>
    <t>Std dev</t>
  </si>
  <si>
    <t>Average</t>
  </si>
  <si>
    <t>Yahoo! WDFC</t>
  </si>
  <si>
    <t>CHD</t>
  </si>
  <si>
    <t>CLX</t>
  </si>
  <si>
    <t>Source:  Yahoo! Finance as of 3/14/25.</t>
  </si>
  <si>
    <t>Source: WDFC, 10Q, 11/30/24, pg. 14</t>
  </si>
  <si>
    <t>SOFR</t>
  </si>
  <si>
    <t>RCF</t>
  </si>
  <si>
    <t>https://www.newyorkfed.org/markets/reference-rates/sofr</t>
  </si>
  <si>
    <t xml:space="preserve">Source: </t>
  </si>
  <si>
    <t>Diluted Shares Out</t>
  </si>
  <si>
    <t>Stock Price</t>
  </si>
  <si>
    <t>Total Capital</t>
  </si>
  <si>
    <t>Debt / Total Capital</t>
  </si>
  <si>
    <t>3-year avg</t>
  </si>
  <si>
    <t>5-year avg</t>
  </si>
  <si>
    <t>7-year avg</t>
  </si>
  <si>
    <t>10-year avg</t>
  </si>
  <si>
    <t>MIN</t>
  </si>
  <si>
    <t>MAX</t>
  </si>
  <si>
    <t>Inputs for synthetic rating estimation</t>
  </si>
  <si>
    <t>Yes</t>
  </si>
  <si>
    <t>Please read the special cases worksheet (see below) before you use this spreadsheet.</t>
  </si>
  <si>
    <t>No</t>
  </si>
  <si>
    <t>Before you use this spreadsheet, make sure that the iteration box (under calculation options in excel) is checked.</t>
  </si>
  <si>
    <t>Enter the type of firm =</t>
  </si>
  <si>
    <t>(Enter 1 if large manufacturing firm, 2 if smaller or riskier firm, 3 if financial service firm)</t>
  </si>
  <si>
    <t>Small: &lt;$5 billion</t>
  </si>
  <si>
    <t>Do you have any operating lease or rental commitments?</t>
  </si>
  <si>
    <t>Yes or No</t>
  </si>
  <si>
    <t>Enter current Earnings before interest and taxes (EBIT) =</t>
  </si>
  <si>
    <t>(Add back only long term interest expense for financial firms)</t>
  </si>
  <si>
    <t>Enter current interest expenses =</t>
  </si>
  <si>
    <t>(Use only long term interest expense for financial firms)</t>
  </si>
  <si>
    <t>Enter current long term government bond rate =</t>
  </si>
  <si>
    <t>Output</t>
  </si>
  <si>
    <t>Interest  coverage ratio =</t>
  </si>
  <si>
    <t>Estimated Bond Rating =</t>
  </si>
  <si>
    <t>Note: If you get REF! All over the place, set the operating lease commitment question in cell F5</t>
  </si>
  <si>
    <t>Estimated Default Spread =</t>
  </si>
  <si>
    <t>to No, and then reset it to Yes. It should work.</t>
  </si>
  <si>
    <t>Estimated Cost of Debt =</t>
  </si>
  <si>
    <t xml:space="preserve"> If you want to update the spreads listed below, please visit http://www.bondsonline.com</t>
    <phoneticPr fontId="13"/>
  </si>
  <si>
    <t>For large non-financial service firms</t>
  </si>
  <si>
    <t>For financial service firms (default spreads are slighty different)</t>
  </si>
  <si>
    <t>If interest coverage ratio is</t>
  </si>
  <si>
    <t>If long term interest coverage ratio is</t>
  </si>
  <si>
    <t>&gt;</t>
  </si>
  <si>
    <t>≤ to</t>
  </si>
  <si>
    <t>Rating is</t>
  </si>
  <si>
    <t>Spread is</t>
  </si>
  <si>
    <t>greater than</t>
  </si>
  <si>
    <t>D2/D</t>
  </si>
  <si>
    <t>C2/C</t>
  </si>
  <si>
    <t>Ca2/CC</t>
  </si>
  <si>
    <t>Caa/CCC</t>
  </si>
  <si>
    <t>B3/B-</t>
  </si>
  <si>
    <t>B2/B</t>
  </si>
  <si>
    <t>B1/B+</t>
  </si>
  <si>
    <t>Ba2/BB</t>
  </si>
  <si>
    <t>Ba1/BB+</t>
  </si>
  <si>
    <t>Baa2/BBB</t>
  </si>
  <si>
    <t>A3/A-</t>
  </si>
  <si>
    <t>A2/A</t>
  </si>
  <si>
    <t>A1/A+</t>
  </si>
  <si>
    <t>Aa2/AA</t>
  </si>
  <si>
    <t>Aaa/AAA</t>
  </si>
  <si>
    <t>For smaller and riskier firms</t>
  </si>
  <si>
    <t>Operating lease inputs</t>
  </si>
  <si>
    <t>Operating lease expense in current year =</t>
  </si>
  <si>
    <t>Operating Lease Commitments (From footnote to financials)</t>
  </si>
  <si>
    <t>Year</t>
  </si>
  <si>
    <t>Commitment</t>
  </si>
  <si>
    <t>! Year 1 is next year, ….</t>
  </si>
  <si>
    <t>6 and beyond</t>
  </si>
  <si>
    <t>Pre-tax Cost of Debt =</t>
  </si>
  <si>
    <t>! If you do not have a cost of debt, use the attached ratings estimator</t>
  </si>
  <si>
    <t>From the current financial statements, enter the following</t>
  </si>
  <si>
    <t>Reported Operating Income (EBIT) =</t>
  </si>
  <si>
    <t>! This is the EBIT reported in the current income statement</t>
  </si>
  <si>
    <t>Reported Debt =</t>
  </si>
  <si>
    <t>! This is the interest-bearing debt reported on the balance sheet</t>
  </si>
  <si>
    <t>Reported Interest Expenses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</si>
  <si>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</si>
  <si>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</si>
  <si>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</si>
  <si>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</si>
  <si>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</si>
  <si>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</si>
  <si>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</si>
  <si>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</si>
  <si>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Operating Income with Operating leases reclassified as debt =</t>
  </si>
  <si>
    <t>Debt with Operating leases reclassified as debt =</t>
  </si>
  <si>
    <t>Full Operating lease adjustment</t>
  </si>
  <si>
    <t>Reported Operating income =</t>
  </si>
  <si>
    <t xml:space="preserve"> + Current year's operating lease expense =</t>
  </si>
  <si>
    <t xml:space="preserve"> - Depreciation on leased asset =</t>
  </si>
  <si>
    <t>Adjusted Operating Income</t>
  </si>
  <si>
    <t>DCF Valuation</t>
  </si>
  <si>
    <t>EBIT</t>
  </si>
  <si>
    <t>Other income (expense), net</t>
  </si>
  <si>
    <t>Taxes</t>
  </si>
  <si>
    <t>EBIAT (NOPAT)</t>
  </si>
  <si>
    <t>Unlevered FCFs</t>
  </si>
  <si>
    <t>Terminal Value</t>
  </si>
  <si>
    <t>Growth rate</t>
  </si>
  <si>
    <t>Discount rate (WACC)</t>
  </si>
  <si>
    <t>Today</t>
  </si>
  <si>
    <t>Year End</t>
  </si>
  <si>
    <t>Diff</t>
  </si>
  <si>
    <t>Factor</t>
  </si>
  <si>
    <t>Discounting Model</t>
  </si>
  <si>
    <t>Mid-year convention</t>
  </si>
  <si>
    <t>YES</t>
  </si>
  <si>
    <t>Year count</t>
  </si>
  <si>
    <t>Discount denominator</t>
  </si>
  <si>
    <t>PV of Free Cash Flow</t>
  </si>
  <si>
    <t>PV of FCFs</t>
  </si>
  <si>
    <t>PV of Terminal Value</t>
  </si>
  <si>
    <t>TEV (Total Enterprise Value)</t>
  </si>
  <si>
    <t>Short-term debt</t>
  </si>
  <si>
    <t>Long-term debt</t>
  </si>
  <si>
    <t>Total debt</t>
  </si>
  <si>
    <t>Required Cash</t>
  </si>
  <si>
    <t>Excess Cash</t>
  </si>
  <si>
    <t>Total cash</t>
  </si>
  <si>
    <t>Convertibles / Preferred Stock</t>
  </si>
  <si>
    <t>Minority Interests</t>
  </si>
  <si>
    <t>Equity Value</t>
  </si>
  <si>
    <t>Diluted Shares Outstanding</t>
  </si>
  <si>
    <t>Value per share</t>
  </si>
  <si>
    <t>Current Price</t>
  </si>
  <si>
    <t>Rating</t>
  </si>
  <si>
    <t>Premium / (Discount) to Intrinsic Value</t>
  </si>
  <si>
    <t>SELL</t>
  </si>
  <si>
    <t>Associate Investments</t>
  </si>
  <si>
    <r>
      <rPr>
        <sz val="11"/>
        <color theme="1"/>
        <rFont val="Symbol"/>
        <family val="1"/>
        <charset val="2"/>
      </rPr>
      <t>D</t>
    </r>
    <r>
      <rPr>
        <sz val="11"/>
        <color theme="1"/>
        <rFont val="Libre Franklin"/>
      </rPr>
      <t xml:space="preserve"> in Operating Working Capital</t>
    </r>
  </si>
  <si>
    <r>
      <rPr>
        <sz val="11"/>
        <color theme="1"/>
        <rFont val="Symbol"/>
        <family val="1"/>
        <charset val="2"/>
      </rPr>
      <t>D</t>
    </r>
    <r>
      <rPr>
        <sz val="11"/>
        <color theme="1"/>
        <rFont val="Libre Franklin"/>
      </rPr>
      <t xml:space="preserve"> in Other Non-Current Assets</t>
    </r>
  </si>
  <si>
    <r>
      <rPr>
        <sz val="11"/>
        <color theme="1"/>
        <rFont val="Symbol"/>
        <family val="1"/>
        <charset val="2"/>
      </rPr>
      <t>D</t>
    </r>
    <r>
      <rPr>
        <sz val="11"/>
        <color theme="1"/>
        <rFont val="Libre Franklin"/>
      </rPr>
      <t xml:space="preserve"> in Other Non-Current Liabilities</t>
    </r>
  </si>
  <si>
    <t>Trading Comparables</t>
  </si>
  <si>
    <t>(in thousands)</t>
  </si>
  <si>
    <t>Ticker</t>
  </si>
  <si>
    <t>WDFC</t>
  </si>
  <si>
    <t>Company</t>
  </si>
  <si>
    <t>WD-40</t>
  </si>
  <si>
    <t>Church &amp; Dwight</t>
  </si>
  <si>
    <t>Clorox</t>
  </si>
  <si>
    <t>WDFC Options Calc</t>
  </si>
  <si>
    <t xml:space="preserve"># of </t>
  </si>
  <si>
    <t>Wgthd Avg</t>
  </si>
  <si>
    <t>In the</t>
  </si>
  <si>
    <t xml:space="preserve">Shares in </t>
  </si>
  <si>
    <t>Options Ex</t>
  </si>
  <si>
    <t>Strike Price</t>
  </si>
  <si>
    <t>Price</t>
  </si>
  <si>
    <t>Money?</t>
  </si>
  <si>
    <t>the money</t>
  </si>
  <si>
    <t>Shares Out</t>
  </si>
  <si>
    <t>Options Ex.</t>
  </si>
  <si>
    <t>Source: WDFC, 10K, 8/31/24, pg. F-16</t>
  </si>
  <si>
    <t>FD Equity Value</t>
  </si>
  <si>
    <t>CHD Options Calc</t>
  </si>
  <si>
    <t>Cash</t>
  </si>
  <si>
    <t>Net Debt</t>
  </si>
  <si>
    <t>Preferreds/Convertibles</t>
  </si>
  <si>
    <t>TEV</t>
  </si>
  <si>
    <t>CLX Options Calc</t>
  </si>
  <si>
    <t>Sales (P/S)</t>
  </si>
  <si>
    <t>LTM</t>
  </si>
  <si>
    <t>Annualized Stub</t>
  </si>
  <si>
    <t>EBITDA (TEV/EBITDA)</t>
  </si>
  <si>
    <t>WDFC LTM Calc</t>
  </si>
  <si>
    <t>1Q</t>
  </si>
  <si>
    <t>Earnings (P/E)</t>
  </si>
  <si>
    <t>Sales</t>
  </si>
  <si>
    <t>Op Income</t>
  </si>
  <si>
    <t>D&amp;A</t>
  </si>
  <si>
    <t>Capex</t>
  </si>
  <si>
    <t>FCF</t>
  </si>
  <si>
    <t>FCF (P/FCF)</t>
  </si>
  <si>
    <t>Note:  FCF = EBITDA - Capex</t>
  </si>
  <si>
    <t xml:space="preserve">                 WDFC, 10K, 8/31/24, F-4 &amp; F-7</t>
  </si>
  <si>
    <t>Source:  SEC Filings and Yahoo! Finance</t>
  </si>
  <si>
    <t>CLX - LTM Calculations</t>
  </si>
  <si>
    <t>1H</t>
  </si>
  <si>
    <t>EBT</t>
  </si>
  <si>
    <t>Other income, net</t>
  </si>
  <si>
    <t>Transaction Comparables - WD-40</t>
  </si>
  <si>
    <t>Announced Date</t>
  </si>
  <si>
    <t>Consideration</t>
  </si>
  <si>
    <t>Cash/stock</t>
  </si>
  <si>
    <t>Acquiror</t>
  </si>
  <si>
    <t>Hexion</t>
  </si>
  <si>
    <t>WLK</t>
  </si>
  <si>
    <t>EMN</t>
  </si>
  <si>
    <t>Target</t>
  </si>
  <si>
    <t>HUN</t>
  </si>
  <si>
    <t>GGC</t>
  </si>
  <si>
    <t>SOA</t>
  </si>
  <si>
    <t>Offer Price</t>
  </si>
  <si>
    <t>LTM Sales</t>
  </si>
  <si>
    <t>LTM EBITDA</t>
  </si>
  <si>
    <t>LTM FCF</t>
  </si>
  <si>
    <t>LTM Earnings</t>
  </si>
  <si>
    <t>1) Eastman Chemical's (EMN) buyout of Solutia (SOA) announced on 1/27/12</t>
  </si>
  <si>
    <t>Cash Offer</t>
  </si>
  <si>
    <t>Stock</t>
  </si>
  <si>
    <t>Stock Offer</t>
  </si>
  <si>
    <t>EMN shs</t>
  </si>
  <si>
    <t>Close</t>
  </si>
  <si>
    <t>Offer</t>
  </si>
  <si>
    <t>Total Offer</t>
  </si>
  <si>
    <t>Shs Out</t>
  </si>
  <si>
    <t>Options</t>
  </si>
  <si>
    <t>SOA Options Table</t>
  </si>
  <si>
    <t>Wghtd Avg</t>
  </si>
  <si>
    <t>Shs in the</t>
  </si>
  <si>
    <t>Ex Price</t>
  </si>
  <si>
    <t>Money</t>
  </si>
  <si>
    <t>Source: SOA, 10K, 12/31/11, pg. 79</t>
  </si>
  <si>
    <t>Preferreds/Converts</t>
  </si>
  <si>
    <t>Minority Interest</t>
  </si>
  <si>
    <t>Operating Income</t>
  </si>
  <si>
    <t>Other operating income, net</t>
  </si>
  <si>
    <t>Depreciation &amp; Amortization</t>
  </si>
  <si>
    <t>LTM Capex</t>
  </si>
  <si>
    <t>Note: FCF defined as EBITDA less Capex.</t>
  </si>
  <si>
    <t>2) Westlake Chemical's (WLK) failed buyout of Georgia Gulf (GGC) based on $35 offer on 2/1/12</t>
  </si>
  <si>
    <t>($ and shares in millions, except per share data)</t>
  </si>
  <si>
    <t>GGC Options Table</t>
  </si>
  <si>
    <t>Wght Avg</t>
  </si>
  <si>
    <t xml:space="preserve">In the </t>
  </si>
  <si>
    <t>Shares in</t>
  </si>
  <si>
    <t>options EX</t>
  </si>
  <si>
    <t>New shares</t>
  </si>
  <si>
    <t>3) Hexion's failed purchase of Huntsman (HUN) (deal proposed July 2007)</t>
  </si>
  <si>
    <t>HUN Options Table</t>
  </si>
  <si>
    <t>One-Time</t>
  </si>
  <si>
    <t>Strike</t>
  </si>
  <si>
    <t>Value per</t>
  </si>
  <si>
    <t>Option</t>
  </si>
  <si>
    <t># of Shs</t>
  </si>
  <si>
    <t>per option</t>
  </si>
  <si>
    <t>NEW</t>
  </si>
  <si>
    <t>SHARES</t>
  </si>
  <si>
    <t># of</t>
  </si>
  <si>
    <t>options</t>
  </si>
  <si>
    <t>1Q24</t>
  </si>
  <si>
    <t>2Q24</t>
  </si>
  <si>
    <t>3Q24</t>
  </si>
  <si>
    <t>4Q24</t>
  </si>
  <si>
    <t>1Q25</t>
  </si>
  <si>
    <t>2Q25</t>
  </si>
  <si>
    <t>Source:  WDFC, 10Q, 11/30/24, pgs. 4 &amp; 7</t>
  </si>
  <si>
    <t>NEW SHARES</t>
  </si>
  <si>
    <t>Source: CHD, 10K, 12/31/24, pg. 80</t>
  </si>
  <si>
    <t>Source: CLX, 10K, 6/30/24, pgs. 26 &amp; 30.</t>
  </si>
  <si>
    <t xml:space="preserve">                CLX, 10Q, 12/31/24, pgs. 3 &amp; 5.</t>
  </si>
  <si>
    <t>Source: CLX, 10K, 6/30/24, pg. 53</t>
  </si>
  <si>
    <t>Offer Price (2/1/12)</t>
  </si>
  <si>
    <t>Preferrreds/Converts</t>
  </si>
  <si>
    <t>Source: GGC, 10K, 12/31/11, pg. 86</t>
  </si>
  <si>
    <t>One-Time Items</t>
  </si>
  <si>
    <t>Offer Price (7/12/07)</t>
  </si>
  <si>
    <t>Source: HUN, 10Q, 6/30/07, pg. 34</t>
  </si>
  <si>
    <t>Associate Investment</t>
  </si>
  <si>
    <t>WD-40 Analysis at Various Prices (AVP)</t>
  </si>
  <si>
    <t>WDFC Price</t>
  </si>
  <si>
    <t>Analysis at Various Prices - Trading Comps - Sales</t>
  </si>
  <si>
    <t>P/S</t>
  </si>
  <si>
    <t>WDFC LTM Sales</t>
  </si>
  <si>
    <t>FD Shs Out</t>
  </si>
  <si>
    <t>Analysis at Various Prices - Transaction Comps - EBITDA</t>
  </si>
  <si>
    <t>TEV/EBITDA</t>
  </si>
  <si>
    <t>WDFC LTM EBITDA</t>
  </si>
  <si>
    <t>WD-40 - Summary</t>
  </si>
  <si>
    <t>($ in thousands)</t>
  </si>
  <si>
    <t>Size</t>
  </si>
  <si>
    <t>COGS</t>
  </si>
  <si>
    <t>Gross Profit</t>
  </si>
  <si>
    <t>Receivables</t>
  </si>
  <si>
    <t>Accounts Payable</t>
  </si>
  <si>
    <t>Assets</t>
  </si>
  <si>
    <t>Profitability</t>
  </si>
  <si>
    <t>Sales growth</t>
  </si>
  <si>
    <t>Gross margin</t>
  </si>
  <si>
    <t>Revenue</t>
  </si>
  <si>
    <t>Profit margin</t>
  </si>
  <si>
    <t>Total Assets (AVG)</t>
  </si>
  <si>
    <t>Asset Utilization</t>
  </si>
  <si>
    <t>ROA</t>
  </si>
  <si>
    <t>Common Equity (AVG)</t>
  </si>
  <si>
    <t>Leverage</t>
  </si>
  <si>
    <t>ROE</t>
  </si>
  <si>
    <t>NOPAT</t>
  </si>
  <si>
    <t>Total Capital (AVG)</t>
  </si>
  <si>
    <t>ROIC</t>
  </si>
  <si>
    <t>Payout ratio</t>
  </si>
  <si>
    <t>Leverage &amp; Coverage</t>
  </si>
  <si>
    <t>Debt to Total Capital</t>
  </si>
  <si>
    <t>Debt to EBITDA</t>
  </si>
  <si>
    <t>FCF / Interest</t>
  </si>
  <si>
    <t>Working Capital</t>
  </si>
  <si>
    <t>Capex Intensity</t>
  </si>
  <si>
    <t>Revenues</t>
  </si>
  <si>
    <t>Revenues per day</t>
  </si>
  <si>
    <t>Receivables (AVG)</t>
  </si>
  <si>
    <t>Days Sales Outstanding</t>
  </si>
  <si>
    <t>COGS per day</t>
  </si>
  <si>
    <t>Inventories (AVG)</t>
  </si>
  <si>
    <t>Days Inventory Outstanding</t>
  </si>
  <si>
    <t>Payables (AVG)</t>
  </si>
  <si>
    <t>Days Payables Outstanding</t>
  </si>
  <si>
    <t>Cash Conversion Cycle</t>
  </si>
  <si>
    <t>Note:  FCF Defined as EBITDA less Capex</t>
  </si>
  <si>
    <t>Analysis at Various Prices - Trading Comps - EBITDA</t>
  </si>
  <si>
    <t>Analysis at Various Prices - Transaction Comps - Sales</t>
  </si>
  <si>
    <t>Price (as of 4/10/25)</t>
  </si>
  <si>
    <t>Terminal growth</t>
  </si>
  <si>
    <t>Cost of Equity (Rf + Beta x MRP)</t>
  </si>
  <si>
    <t>Growth (perpetuity)</t>
  </si>
  <si>
    <t>Dividend per share</t>
  </si>
  <si>
    <t>WDFC Price (4/10/25)</t>
  </si>
  <si>
    <t>Current Price (4/10/25)</t>
  </si>
  <si>
    <t>Assumptions</t>
  </si>
  <si>
    <t>Calcs</t>
  </si>
  <si>
    <t>Cash Flow Statement</t>
  </si>
  <si>
    <t>Trading Comps</t>
  </si>
  <si>
    <t>Transaction Comps</t>
  </si>
  <si>
    <t>AVP</t>
  </si>
  <si>
    <t>Note:  Prices as of market close (4/10/25). FCF = EBITDA -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</si>
</sst>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7" formatCode="&quot;$&quot;#,##0.00_);\(&quot;$&quot;#,##0.00\)"/>
    <numFmt numFmtId="44" formatCode="_(&quot;$&quot;* #,##0.00_);_(&quot;$&quot;* \(#,##0.00\);_(&quot;$&quot;* &quot;-&quot;??_);_(@_)"/>
    <numFmt numFmtId="164" formatCode="m/d/yy;@"/>
    <numFmt numFmtId="165" formatCode="#,##0.000_);\(#,##0.000\)"/>
    <numFmt numFmtId="166" formatCode="0.0%;\(0.0%\)"/>
    <numFmt numFmtId="167" formatCode="#,##0.0_);\(#,##0.0\)"/>
    <numFmt numFmtId="168" formatCode="0.00%;\(0.00%\)"/>
    <numFmt numFmtId="169" formatCode="&quot;$&quot;#,##0"/>
    <numFmt numFmtId="170" formatCode="&quot;$&quot;#,##0.00"/>
    <numFmt numFmtId="171" formatCode="0.0&quot;x&quot;;\(0.0&quot;x&quot;\)"/>
    <numFmt numFmtId="172" formatCode="0.00&quot;x&quot;;\(0.00&quot;x&quot;\)"/>
    <numFmt numFmtId="173" formatCode="&quot;$&quot;#,##0.0_);\(&quot;$&quot;#,##0.0\)"/>
    <numFmt numFmtId="174" formatCode="0.0_);\(0.0\)"/>
    <numFmt numFmtId="175" formatCode="0.00_);\(0.00\)"/>
  </numFmts>
  <fonts count="56">
    <font>
      <sz val="11"/>
      <color theme="1"/>
      <name val="Libre Franklin"/>
      <family val="2"/>
    </font>
    <font>
      <b/>
      <sz val="11"/>
      <color theme="1"/>
      <name val="Libre Franklin"/>
    </font>
    <font>
      <b/>
      <sz val="24"/>
      <color theme="1"/>
      <name val="Libre Franklin"/>
    </font>
    <font>
      <i/>
      <sz val="11"/>
      <color theme="1"/>
      <name val="Libre Franklin"/>
    </font>
    <font>
      <sz val="11"/>
      <color rgb="FF0070C0"/>
      <name val="Libre Franklin"/>
      <family val="2"/>
    </font>
    <font>
      <sz val="11"/>
      <color theme="1"/>
      <name val="Libre Franklin"/>
    </font>
    <font>
      <sz val="11"/>
      <color rgb="FF0070C0"/>
      <name val="Libre Franklin"/>
    </font>
    <font>
      <b/>
      <sz val="9"/>
      <color indexed="81"/>
      <name val="Tahoma"/>
      <family val="2"/>
    </font>
    <font>
      <sz val="9"/>
      <color indexed="81"/>
      <name val="Tahoma"/>
      <family val="2"/>
    </font>
    <font>
      <b/>
      <u/>
      <sz val="9"/>
      <color indexed="81"/>
      <name val="Tahoma"/>
      <family val="2"/>
    </font>
    <font>
      <b/>
      <u/>
      <sz val="11"/>
      <color theme="1"/>
      <name val="Libre Franklin"/>
    </font>
    <font>
      <sz val="11"/>
      <color rgb="FF00B050"/>
      <name val="Libre Franklin"/>
      <family val="2"/>
    </font>
    <font>
      <b/>
      <sz val="11"/>
      <color rgb="FF00B050"/>
      <name val="Libre Franklin"/>
    </font>
    <font>
      <sz val="11"/>
      <color rgb="FF00B050"/>
      <name val="Libre Franklin"/>
    </font>
    <font>
      <sz val="11"/>
      <name val="Libre Franklin"/>
      <family val="2"/>
    </font>
    <font>
      <sz val="11"/>
      <name val="Libre Franklin"/>
    </font>
    <font>
      <sz val="11"/>
      <color theme="1"/>
      <name val="Symbol"/>
      <family val="1"/>
      <charset val="2"/>
    </font>
    <font>
      <sz val="11"/>
      <color theme="1"/>
      <name val="Libre Franklin"/>
      <family val="1"/>
      <charset val="2"/>
    </font>
    <font>
      <b/>
      <sz val="11"/>
      <color theme="1"/>
      <name val="Symbol"/>
      <family val="1"/>
      <charset val="2"/>
    </font>
    <font>
      <sz val="10"/>
      <name val="Arial"/>
      <family val="2"/>
    </font>
    <font>
      <sz val="11"/>
      <color theme="1"/>
      <name val="Aptos Narrow"/>
      <family val="2"/>
      <scheme val="minor"/>
    </font>
    <font>
      <b/>
      <sz val="20"/>
      <name val="Libre Franklin"/>
    </font>
    <font>
      <sz val="10"/>
      <name val="Libre Franklin"/>
    </font>
    <font>
      <b/>
      <u/>
      <sz val="11"/>
      <name val="Libre Franklin"/>
    </font>
    <font>
      <b/>
      <sz val="10"/>
      <name val="Libre Franklin"/>
    </font>
    <font>
      <sz val="10"/>
      <color rgb="FF00B050"/>
      <name val="Libre Franklin"/>
    </font>
    <font>
      <sz val="10"/>
      <color rgb="FF0070C0"/>
      <name val="Libre Franklin"/>
    </font>
    <font>
      <b/>
      <sz val="11"/>
      <name val="Libre Franklin"/>
    </font>
    <font>
      <i/>
      <sz val="11"/>
      <name val="Libre Franklin"/>
    </font>
    <font>
      <sz val="10"/>
      <name val="Aptos Narrow"/>
      <family val="2"/>
      <scheme val="minor"/>
    </font>
    <font>
      <b/>
      <sz val="11"/>
      <color rgb="FF0070C0"/>
      <name val="Libre Franklin"/>
    </font>
    <font>
      <u/>
      <sz val="11"/>
      <color theme="10"/>
      <name val="Libre Franklin"/>
      <family val="2"/>
    </font>
    <font>
      <i/>
      <sz val="10"/>
      <name val="Libre Franklin"/>
    </font>
    <font>
      <sz val="10"/>
      <name val="Geneva"/>
      <family val="2"/>
    </font>
    <font>
      <b/>
      <sz val="14"/>
      <name val="Times"/>
      <family val="1"/>
    </font>
    <font>
      <sz val="10"/>
      <name val="Geneva"/>
      <family val="2"/>
      <charset val="1"/>
    </font>
    <font>
      <b/>
      <i/>
      <sz val="12"/>
      <name val="Times"/>
      <family val="1"/>
    </font>
    <font>
      <i/>
      <sz val="12"/>
      <name val="Geneva"/>
      <family val="2"/>
      <charset val="1"/>
    </font>
    <font>
      <sz val="10"/>
      <name val="Times"/>
      <family val="1"/>
    </font>
    <font>
      <b/>
      <sz val="10"/>
      <name val="Times"/>
      <family val="1"/>
    </font>
    <font>
      <b/>
      <sz val="10"/>
      <name val="Geneva"/>
      <family val="2"/>
      <charset val="1"/>
    </font>
    <font>
      <i/>
      <sz val="10"/>
      <name val="Geneva"/>
      <family val="2"/>
      <charset val="1"/>
    </font>
    <font>
      <i/>
      <sz val="10"/>
      <name val="Times"/>
      <family val="1"/>
    </font>
    <font>
      <b/>
      <i/>
      <sz val="10"/>
      <name val="Times"/>
      <family val="1"/>
    </font>
    <font>
      <i/>
      <sz val="10"/>
      <name val="Times Roman"/>
    </font>
    <font>
      <sz val="10"/>
      <name val="Times Roman"/>
    </font>
    <font>
      <b/>
      <sz val="9"/>
      <color indexed="8"/>
      <name val="Geneva"/>
      <family val="2"/>
      <charset val="1"/>
    </font>
    <font>
      <sz val="9"/>
      <color indexed="8"/>
      <name val="Geneva"/>
      <family val="2"/>
      <charset val="1"/>
    </font>
    <font>
      <b/>
      <sz val="9"/>
      <color indexed="81"/>
      <name val="Geneva"/>
      <family val="2"/>
      <charset val="1"/>
    </font>
    <font>
      <sz val="9"/>
      <color indexed="81"/>
      <name val="Geneva"/>
      <family val="2"/>
      <charset val="1"/>
    </font>
    <font>
      <b/>
      <i/>
      <sz val="9"/>
      <color indexed="81"/>
      <name val="Tahoma"/>
      <family val="2"/>
    </font>
    <font>
      <b/>
      <i/>
      <u/>
      <sz val="9"/>
      <color indexed="81"/>
      <name val="Tahoma"/>
      <family val="2"/>
    </font>
    <font>
      <sz val="10"/>
      <color rgb="FF00B050"/>
      <name val="Times"/>
      <family val="1"/>
    </font>
    <font>
      <b/>
      <sz val="8"/>
      <color indexed="81"/>
      <name val="Tahoma"/>
      <family val="2"/>
    </font>
    <font>
      <sz val="8"/>
      <color indexed="81"/>
      <name val="Tahoma"/>
      <family val="2"/>
    </font>
    <font>
      <b/>
      <u/>
      <sz val="8"/>
      <color indexed="81"/>
      <name val="Tahoma"/>
      <family val="2"/>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indexed="13"/>
        <bgColor indexed="64"/>
      </patternFill>
    </fill>
    <fill>
      <patternFill patternType="solid">
        <fgColor indexed="43"/>
        <bgColor indexed="64"/>
      </patternFill>
    </fill>
    <fill>
      <patternFill patternType="solid">
        <fgColor indexed="42"/>
        <bgColor indexed="64"/>
      </patternFill>
    </fill>
    <fill>
      <patternFill patternType="solid">
        <fgColor rgb="FF92D050"/>
        <bgColor indexed="64"/>
      </patternFill>
    </fill>
  </fills>
  <borders count="37">
    <border>
      <left/>
      <right/>
      <top/>
      <bottom/>
      <diagonal/>
    </border>
    <border>
      <left style="medium">
        <color auto="1"/>
      </left>
      <right style="medium">
        <color auto="1"/>
      </right>
      <top style="medium">
        <color auto="1"/>
      </top>
      <bottom style="medium">
        <color auto="1"/>
      </bottom>
      <diagonal/>
    </border>
    <border>
      <left style="thin">
        <color rgb="FF0070C0"/>
      </left>
      <right/>
      <top style="thin">
        <color rgb="FF0070C0"/>
      </top>
      <bottom/>
      <diagonal/>
    </border>
    <border>
      <left/>
      <right/>
      <top style="thin">
        <color rgb="FF0070C0"/>
      </top>
      <bottom/>
      <diagonal/>
    </border>
    <border>
      <left style="thick">
        <color theme="0"/>
      </left>
      <right style="thick">
        <color theme="0"/>
      </right>
      <top/>
      <bottom style="thin">
        <color auto="1"/>
      </bottom>
      <diagonal/>
    </border>
    <border>
      <left style="thick">
        <color theme="0"/>
      </left>
      <right style="thick">
        <color theme="0"/>
      </right>
      <top style="thin">
        <color auto="1"/>
      </top>
      <bottom/>
      <diagonal/>
    </border>
    <border>
      <left style="thick">
        <color theme="0"/>
      </left>
      <right style="thick">
        <color theme="0"/>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style="thick">
        <color theme="0"/>
      </left>
      <right/>
      <top/>
      <bottom style="thin">
        <color auto="1"/>
      </bottom>
      <diagonal/>
    </border>
    <border>
      <left/>
      <right style="thick">
        <color theme="0"/>
      </right>
      <top style="thin">
        <color auto="1"/>
      </top>
      <bottom/>
      <diagonal/>
    </border>
    <border>
      <left style="medium">
        <color theme="0"/>
      </left>
      <right style="medium">
        <color theme="0"/>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theme="0"/>
      </left>
      <right style="thick">
        <color theme="0"/>
      </right>
      <top/>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style="thick">
        <color theme="0"/>
      </left>
      <right style="medium">
        <color indexed="64"/>
      </right>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right/>
      <top/>
      <bottom style="thin">
        <color auto="1"/>
      </bottom>
      <diagonal/>
    </border>
    <border>
      <left style="thin">
        <color auto="1"/>
      </left>
      <right/>
      <top style="thin">
        <color auto="1"/>
      </top>
      <bottom/>
      <diagonal/>
    </border>
    <border>
      <left style="thin">
        <color auto="1"/>
      </left>
      <right/>
      <top/>
      <bottom/>
      <diagonal/>
    </border>
  </borders>
  <cellStyleXfs count="7">
    <xf numFmtId="0" fontId="0" fillId="0" borderId="0"/>
    <xf numFmtId="167" fontId="19" fillId="0" borderId="0" applyFont="0" applyFill="0" applyBorder="0" applyAlignment="0">
      <protection locked="0"/>
    </xf>
    <xf numFmtId="0" fontId="20" fillId="0" borderId="0"/>
    <xf numFmtId="0" fontId="31" fillId="0" borderId="0" applyNumberFormat="0" applyFill="0" applyBorder="0" applyAlignment="0" applyProtection="0"/>
    <xf numFmtId="0" fontId="33" fillId="0" borderId="0"/>
    <xf numFmtId="44" fontId="35" fillId="0" borderId="0" applyFont="0" applyFill="0" applyBorder="0" applyAlignment="0" applyProtection="0"/>
    <xf numFmtId="9" fontId="35" fillId="0" borderId="0" applyFont="0" applyFill="0" applyBorder="0" applyAlignment="0" applyProtection="0"/>
  </cellStyleXfs>
  <cellXfs count="320">
    <xf numFmtId="0" fontId="0" fillId="0" borderId="0" xfId="0"/>
    <xf numFmtId="0" fontId="1" fillId="0" borderId="0" xfId="0" applyFont="1"/>
    <xf numFmtId="0" fontId="1" fillId="0" borderId="1" xfId="0" applyFont="1" applyBorder="1" applyAlignment="1">
      <alignment horizontal="center"/>
    </xf>
    <xf numFmtId="0" fontId="0" fillId="0" borderId="0" xfId="0" applyAlignment="1">
      <alignment horizontal="center"/>
    </xf>
    <xf numFmtId="0" fontId="2" fillId="0" borderId="2" xfId="0" applyFont="1" applyBorder="1"/>
    <xf numFmtId="0" fontId="0" fillId="0" borderId="3" xfId="0" applyBorder="1"/>
    <xf numFmtId="0" fontId="3" fillId="0" borderId="0" xfId="0" applyFont="1"/>
    <xf numFmtId="164" fontId="1" fillId="0" borderId="4" xfId="0" applyNumberFormat="1" applyFont="1" applyBorder="1" applyAlignment="1">
      <alignment horizontal="center"/>
    </xf>
    <xf numFmtId="0" fontId="1" fillId="0" borderId="0" xfId="0" applyFont="1" applyAlignment="1">
      <alignment horizontal="left" indent="1"/>
    </xf>
    <xf numFmtId="0" fontId="1" fillId="0" borderId="0" xfId="0" applyFont="1" applyAlignment="1">
      <alignment horizontal="center"/>
    </xf>
    <xf numFmtId="0" fontId="3" fillId="0" borderId="0" xfId="0" applyFont="1" applyAlignment="1">
      <alignment horizontal="left" indent="1"/>
    </xf>
    <xf numFmtId="5" fontId="4" fillId="0" borderId="0" xfId="0" applyNumberFormat="1" applyFont="1"/>
    <xf numFmtId="37" fontId="4" fillId="0" borderId="0" xfId="0" applyNumberFormat="1" applyFont="1"/>
    <xf numFmtId="5" fontId="1" fillId="0" borderId="5" xfId="0" applyNumberFormat="1" applyFont="1" applyBorder="1"/>
    <xf numFmtId="5" fontId="1" fillId="0" borderId="6" xfId="0" applyNumberFormat="1" applyFont="1" applyBorder="1"/>
    <xf numFmtId="165" fontId="3" fillId="0" borderId="0" xfId="0" applyNumberFormat="1" applyFont="1"/>
    <xf numFmtId="0" fontId="0" fillId="0" borderId="0" xfId="0" applyAlignment="1">
      <alignment horizontal="left" indent="1"/>
    </xf>
    <xf numFmtId="7" fontId="0" fillId="0" borderId="0" xfId="0" applyNumberFormat="1"/>
    <xf numFmtId="0" fontId="5" fillId="0" borderId="0" xfId="0" applyFont="1"/>
    <xf numFmtId="5" fontId="6" fillId="0" borderId="0" xfId="0" applyNumberFormat="1" applyFont="1"/>
    <xf numFmtId="37" fontId="6" fillId="0" borderId="0" xfId="0" applyNumberFormat="1" applyFont="1"/>
    <xf numFmtId="164" fontId="1" fillId="0" borderId="0" xfId="0" applyNumberFormat="1" applyFont="1" applyAlignment="1">
      <alignment horizontal="center"/>
    </xf>
    <xf numFmtId="37" fontId="0" fillId="0" borderId="0" xfId="0" applyNumberFormat="1"/>
    <xf numFmtId="0" fontId="10" fillId="0" borderId="0" xfId="0" applyFont="1"/>
    <xf numFmtId="166" fontId="0" fillId="0" borderId="0" xfId="0" applyNumberFormat="1"/>
    <xf numFmtId="0" fontId="1" fillId="0" borderId="0" xfId="0" applyFont="1" applyAlignment="1">
      <alignment horizontal="left"/>
    </xf>
    <xf numFmtId="0" fontId="1" fillId="0" borderId="4" xfId="0" applyFont="1" applyBorder="1" applyAlignment="1">
      <alignment horizontal="center"/>
    </xf>
    <xf numFmtId="0" fontId="0" fillId="2" borderId="0" xfId="0" applyFill="1"/>
    <xf numFmtId="0" fontId="2" fillId="0" borderId="3" xfId="0" applyFont="1" applyBorder="1"/>
    <xf numFmtId="166" fontId="0" fillId="0" borderId="0" xfId="0" applyNumberFormat="1" applyAlignment="1">
      <alignment vertical="center"/>
    </xf>
    <xf numFmtId="0" fontId="0" fillId="0" borderId="0" xfId="0" applyAlignment="1">
      <alignment vertical="center"/>
    </xf>
    <xf numFmtId="0" fontId="0" fillId="2" borderId="0" xfId="0" applyFill="1" applyAlignment="1">
      <alignment vertical="center"/>
    </xf>
    <xf numFmtId="0" fontId="0" fillId="4" borderId="0" xfId="0" applyFill="1"/>
    <xf numFmtId="37" fontId="6" fillId="4" borderId="0" xfId="0" applyNumberFormat="1" applyFont="1" applyFill="1"/>
    <xf numFmtId="37" fontId="4" fillId="4" borderId="0" xfId="0" applyNumberFormat="1" applyFont="1" applyFill="1"/>
    <xf numFmtId="0" fontId="10" fillId="0" borderId="0" xfId="0" applyFont="1" applyAlignment="1">
      <alignment horizontal="left"/>
    </xf>
    <xf numFmtId="0" fontId="0" fillId="0" borderId="0" xfId="0" quotePrefix="1"/>
    <xf numFmtId="0" fontId="5" fillId="4" borderId="0" xfId="0" applyFont="1" applyFill="1"/>
    <xf numFmtId="37" fontId="5" fillId="4" borderId="0" xfId="0" applyNumberFormat="1" applyFont="1" applyFill="1"/>
    <xf numFmtId="5" fontId="11" fillId="0" borderId="0" xfId="0" applyNumberFormat="1" applyFont="1" applyAlignment="1">
      <alignment vertical="center"/>
    </xf>
    <xf numFmtId="37" fontId="11" fillId="0" borderId="0" xfId="0" applyNumberFormat="1" applyFont="1" applyAlignment="1">
      <alignment vertical="center"/>
    </xf>
    <xf numFmtId="37" fontId="0" fillId="0" borderId="0" xfId="0" applyNumberFormat="1" applyAlignment="1">
      <alignment vertical="center"/>
    </xf>
    <xf numFmtId="0" fontId="1" fillId="0" borderId="0" xfId="0" applyFont="1" applyAlignment="1">
      <alignment vertical="center"/>
    </xf>
    <xf numFmtId="0" fontId="0" fillId="3" borderId="0" xfId="0" applyFill="1" applyAlignment="1">
      <alignment vertical="center"/>
    </xf>
    <xf numFmtId="0" fontId="5" fillId="2" borderId="0" xfId="0" applyFont="1" applyFill="1" applyAlignment="1">
      <alignment vertical="center"/>
    </xf>
    <xf numFmtId="0" fontId="5" fillId="0" borderId="0" xfId="0" applyFont="1" applyAlignment="1">
      <alignment vertical="center"/>
    </xf>
    <xf numFmtId="5" fontId="11" fillId="0" borderId="0" xfId="0" applyNumberFormat="1" applyFont="1"/>
    <xf numFmtId="5" fontId="0" fillId="0" borderId="0" xfId="0" applyNumberFormat="1"/>
    <xf numFmtId="37" fontId="11" fillId="0" borderId="0" xfId="0" applyNumberFormat="1" applyFont="1"/>
    <xf numFmtId="39" fontId="3" fillId="0" borderId="0" xfId="0" applyNumberFormat="1" applyFont="1"/>
    <xf numFmtId="5" fontId="12" fillId="0" borderId="5" xfId="0" applyNumberFormat="1" applyFont="1" applyBorder="1"/>
    <xf numFmtId="37" fontId="13" fillId="0" borderId="0" xfId="0" applyNumberFormat="1" applyFont="1"/>
    <xf numFmtId="37" fontId="5" fillId="0" borderId="0" xfId="0" applyNumberFormat="1" applyFont="1"/>
    <xf numFmtId="0" fontId="5" fillId="0" borderId="0" xfId="0" applyFont="1" applyAlignment="1">
      <alignment horizontal="left"/>
    </xf>
    <xf numFmtId="0" fontId="1" fillId="0" borderId="7" xfId="0" applyFont="1" applyBorder="1" applyAlignment="1">
      <alignment horizontal="centerContinuous"/>
    </xf>
    <xf numFmtId="0" fontId="0" fillId="0" borderId="8" xfId="0" applyBorder="1" applyAlignment="1">
      <alignment horizontal="centerContinuous"/>
    </xf>
    <xf numFmtId="0" fontId="0" fillId="0" borderId="9" xfId="0" applyBorder="1" applyAlignment="1">
      <alignment horizontal="centerContinuous"/>
    </xf>
    <xf numFmtId="164" fontId="1" fillId="0" borderId="11" xfId="0" applyNumberFormat="1" applyFont="1" applyBorder="1" applyAlignment="1">
      <alignment horizontal="center"/>
    </xf>
    <xf numFmtId="164" fontId="1" fillId="0" borderId="10" xfId="0" applyNumberFormat="1" applyFont="1" applyBorder="1" applyAlignment="1">
      <alignment horizontal="center"/>
    </xf>
    <xf numFmtId="0" fontId="5" fillId="0" borderId="5" xfId="0" applyFont="1" applyBorder="1"/>
    <xf numFmtId="0" fontId="0" fillId="0" borderId="5" xfId="0" applyBorder="1"/>
    <xf numFmtId="166" fontId="11" fillId="0" borderId="0" xfId="0" applyNumberFormat="1" applyFont="1" applyAlignment="1">
      <alignment vertical="center"/>
    </xf>
    <xf numFmtId="166" fontId="4" fillId="0" borderId="0" xfId="0" applyNumberFormat="1" applyFont="1" applyAlignment="1">
      <alignment vertical="center"/>
    </xf>
    <xf numFmtId="37" fontId="4" fillId="0" borderId="0" xfId="0" applyNumberFormat="1" applyFont="1" applyAlignment="1">
      <alignment vertical="center"/>
    </xf>
    <xf numFmtId="5" fontId="4" fillId="0" borderId="0" xfId="0" applyNumberFormat="1" applyFont="1" applyAlignment="1">
      <alignment vertical="center"/>
    </xf>
    <xf numFmtId="5" fontId="14" fillId="0" borderId="0" xfId="0" applyNumberFormat="1" applyFont="1"/>
    <xf numFmtId="37" fontId="14" fillId="0" borderId="0" xfId="0" applyNumberFormat="1" applyFont="1"/>
    <xf numFmtId="5" fontId="15" fillId="0" borderId="0" xfId="0" applyNumberFormat="1" applyFont="1"/>
    <xf numFmtId="0" fontId="5" fillId="0" borderId="12" xfId="0" applyFont="1" applyBorder="1"/>
    <xf numFmtId="0" fontId="1" fillId="2" borderId="1" xfId="0" applyFont="1" applyFill="1" applyBorder="1"/>
    <xf numFmtId="10" fontId="4" fillId="0" borderId="0" xfId="0" applyNumberFormat="1" applyFont="1" applyAlignment="1">
      <alignment vertical="center"/>
    </xf>
    <xf numFmtId="10" fontId="11" fillId="0" borderId="0" xfId="0" applyNumberFormat="1" applyFont="1" applyAlignment="1">
      <alignment vertical="center"/>
    </xf>
    <xf numFmtId="5" fontId="0" fillId="0" borderId="0" xfId="0" applyNumberFormat="1" applyAlignment="1">
      <alignment vertical="center"/>
    </xf>
    <xf numFmtId="37" fontId="14" fillId="0" borderId="0" xfId="0" applyNumberFormat="1" applyFont="1" applyAlignment="1">
      <alignment vertical="center"/>
    </xf>
    <xf numFmtId="0" fontId="1" fillId="0" borderId="0" xfId="0" applyFont="1" applyAlignment="1">
      <alignment horizontal="left" vertical="center" indent="1"/>
    </xf>
    <xf numFmtId="0" fontId="1" fillId="5" borderId="1" xfId="0" applyFont="1" applyFill="1" applyBorder="1" applyAlignment="1">
      <alignment horizontal="center"/>
    </xf>
    <xf numFmtId="0" fontId="17" fillId="0" borderId="0" xfId="0" applyFont="1" applyAlignment="1">
      <alignment vertical="center"/>
    </xf>
    <xf numFmtId="5" fontId="14" fillId="0" borderId="0" xfId="0" applyNumberFormat="1" applyFont="1" applyAlignment="1">
      <alignment vertical="center"/>
    </xf>
    <xf numFmtId="5" fontId="1" fillId="0" borderId="0" xfId="0" applyNumberFormat="1" applyFont="1"/>
    <xf numFmtId="167" fontId="21" fillId="0" borderId="2" xfId="1" applyFont="1" applyBorder="1">
      <protection locked="0"/>
    </xf>
    <xf numFmtId="167" fontId="22" fillId="0" borderId="3" xfId="1" applyFont="1" applyBorder="1">
      <protection locked="0"/>
    </xf>
    <xf numFmtId="167" fontId="22" fillId="0" borderId="0" xfId="1" applyFont="1">
      <protection locked="0"/>
    </xf>
    <xf numFmtId="0" fontId="15" fillId="0" borderId="0" xfId="2" applyFont="1" applyProtection="1">
      <protection locked="0"/>
    </xf>
    <xf numFmtId="167" fontId="24" fillId="0" borderId="0" xfId="1" applyFont="1" applyAlignment="1">
      <alignment horizontal="center"/>
      <protection locked="0"/>
    </xf>
    <xf numFmtId="168" fontId="25" fillId="2" borderId="0" xfId="1" applyNumberFormat="1" applyFont="1" applyFill="1" applyAlignment="1">
      <alignment horizontal="center"/>
      <protection locked="0"/>
    </xf>
    <xf numFmtId="167" fontId="25" fillId="0" borderId="0" xfId="1" applyFont="1">
      <protection locked="0"/>
    </xf>
    <xf numFmtId="168" fontId="22" fillId="0" borderId="0" xfId="1" applyNumberFormat="1" applyFont="1" applyAlignment="1">
      <alignment horizontal="center"/>
      <protection locked="0"/>
    </xf>
    <xf numFmtId="167" fontId="24" fillId="0" borderId="0" xfId="1" applyFont="1">
      <protection locked="0"/>
    </xf>
    <xf numFmtId="167" fontId="15" fillId="0" borderId="0" xfId="1" applyFont="1">
      <protection locked="0"/>
    </xf>
    <xf numFmtId="167" fontId="27" fillId="0" borderId="0" xfId="1" applyFont="1" applyAlignment="1">
      <alignment horizontal="left" indent="1"/>
      <protection locked="0"/>
    </xf>
    <xf numFmtId="164" fontId="1" fillId="0" borderId="1" xfId="0" applyNumberFormat="1" applyFont="1" applyBorder="1" applyAlignment="1">
      <alignment horizontal="center"/>
    </xf>
    <xf numFmtId="167" fontId="24" fillId="0" borderId="1" xfId="1" applyFont="1" applyBorder="1" applyAlignment="1">
      <alignment horizontal="center"/>
      <protection locked="0"/>
    </xf>
    <xf numFmtId="5" fontId="26" fillId="0" borderId="0" xfId="1" applyNumberFormat="1" applyFont="1">
      <protection locked="0"/>
    </xf>
    <xf numFmtId="10" fontId="13" fillId="0" borderId="0" xfId="0" applyNumberFormat="1" applyFont="1"/>
    <xf numFmtId="37" fontId="26" fillId="0" borderId="0" xfId="1" applyNumberFormat="1" applyFont="1">
      <protection locked="0"/>
    </xf>
    <xf numFmtId="10" fontId="27" fillId="0" borderId="5" xfId="0" applyNumberFormat="1" applyFont="1" applyBorder="1"/>
    <xf numFmtId="167" fontId="28" fillId="0" borderId="0" xfId="1" applyFont="1">
      <protection locked="0"/>
    </xf>
    <xf numFmtId="164" fontId="1" fillId="0" borderId="13" xfId="0" applyNumberFormat="1" applyFont="1" applyBorder="1" applyAlignment="1">
      <alignment horizontal="center"/>
    </xf>
    <xf numFmtId="169" fontId="6" fillId="0" borderId="0" xfId="0" applyNumberFormat="1" applyFont="1"/>
    <xf numFmtId="169" fontId="5" fillId="0" borderId="0" xfId="0" applyNumberFormat="1" applyFont="1"/>
    <xf numFmtId="39" fontId="1" fillId="0" borderId="1" xfId="0" applyNumberFormat="1" applyFont="1" applyBorder="1"/>
    <xf numFmtId="39" fontId="30" fillId="0" borderId="0" xfId="0" applyNumberFormat="1" applyFont="1"/>
    <xf numFmtId="164" fontId="22" fillId="0" borderId="0" xfId="1" applyNumberFormat="1" applyFont="1">
      <protection locked="0"/>
    </xf>
    <xf numFmtId="10" fontId="22" fillId="0" borderId="0" xfId="1" applyNumberFormat="1" applyFont="1">
      <protection locked="0"/>
    </xf>
    <xf numFmtId="10" fontId="6" fillId="0" borderId="0" xfId="0" applyNumberFormat="1" applyFont="1"/>
    <xf numFmtId="167" fontId="31" fillId="0" borderId="0" xfId="3" applyNumberFormat="1" applyProtection="1">
      <protection locked="0"/>
    </xf>
    <xf numFmtId="167" fontId="32" fillId="0" borderId="0" xfId="1" applyFont="1">
      <protection locked="0"/>
    </xf>
    <xf numFmtId="7" fontId="6" fillId="0" borderId="0" xfId="0" applyNumberFormat="1" applyFont="1"/>
    <xf numFmtId="166" fontId="1" fillId="0" borderId="0" xfId="0" applyNumberFormat="1" applyFont="1"/>
    <xf numFmtId="168" fontId="6" fillId="2" borderId="0" xfId="1" applyNumberFormat="1" applyFont="1" applyFill="1" applyAlignment="1">
      <alignment horizontal="center"/>
      <protection locked="0"/>
    </xf>
    <xf numFmtId="0" fontId="34" fillId="0" borderId="0" xfId="4" applyFont="1"/>
    <xf numFmtId="0" fontId="33" fillId="0" borderId="0" xfId="4"/>
    <xf numFmtId="0" fontId="35" fillId="0" borderId="0" xfId="4" applyFont="1"/>
    <xf numFmtId="0" fontId="36" fillId="0" borderId="0" xfId="4" applyFont="1"/>
    <xf numFmtId="0" fontId="37" fillId="0" borderId="0" xfId="4" applyFont="1"/>
    <xf numFmtId="0" fontId="38" fillId="0" borderId="0" xfId="4" applyFont="1"/>
    <xf numFmtId="0" fontId="38" fillId="6" borderId="1" xfId="4" applyFont="1" applyFill="1" applyBorder="1"/>
    <xf numFmtId="0" fontId="38" fillId="6" borderId="14" xfId="4" applyFont="1" applyFill="1" applyBorder="1" applyAlignment="1">
      <alignment horizontal="center"/>
    </xf>
    <xf numFmtId="10" fontId="38" fillId="6" borderId="1" xfId="4" applyNumberFormat="1" applyFont="1" applyFill="1" applyBorder="1"/>
    <xf numFmtId="0" fontId="39" fillId="0" borderId="0" xfId="4" applyFont="1"/>
    <xf numFmtId="2" fontId="39" fillId="0" borderId="1" xfId="4" applyNumberFormat="1" applyFont="1" applyBorder="1" applyAlignment="1">
      <alignment horizontal="center"/>
    </xf>
    <xf numFmtId="0" fontId="40" fillId="0" borderId="15" xfId="4" applyFont="1" applyBorder="1" applyAlignment="1">
      <alignment horizontal="center"/>
    </xf>
    <xf numFmtId="0" fontId="41" fillId="0" borderId="0" xfId="4" applyFont="1"/>
    <xf numFmtId="10" fontId="39" fillId="0" borderId="1" xfId="6" applyNumberFormat="1" applyFont="1" applyBorder="1" applyAlignment="1">
      <alignment horizontal="center"/>
    </xf>
    <xf numFmtId="10" fontId="39" fillId="0" borderId="1" xfId="4" applyNumberFormat="1" applyFont="1" applyBorder="1" applyAlignment="1">
      <alignment horizontal="center"/>
    </xf>
    <xf numFmtId="10" fontId="39" fillId="0" borderId="0" xfId="4" applyNumberFormat="1" applyFont="1" applyAlignment="1">
      <alignment horizontal="center"/>
    </xf>
    <xf numFmtId="0" fontId="42" fillId="0" borderId="0" xfId="4" applyFont="1"/>
    <xf numFmtId="10" fontId="43" fillId="0" borderId="0" xfId="4" applyNumberFormat="1" applyFont="1" applyAlignment="1">
      <alignment horizontal="center"/>
    </xf>
    <xf numFmtId="0" fontId="44" fillId="0" borderId="14" xfId="4" applyFont="1" applyBorder="1" applyAlignment="1">
      <alignment horizontal="centerContinuous"/>
    </xf>
    <xf numFmtId="0" fontId="44" fillId="0" borderId="14" xfId="4" applyFont="1" applyBorder="1"/>
    <xf numFmtId="0" fontId="38" fillId="0" borderId="0" xfId="4" applyFont="1" applyAlignment="1">
      <alignment horizontal="centerContinuous"/>
    </xf>
    <xf numFmtId="0" fontId="44" fillId="0" borderId="14" xfId="4" applyFont="1" applyBorder="1" applyAlignment="1">
      <alignment horizontal="center"/>
    </xf>
    <xf numFmtId="0" fontId="38" fillId="0" borderId="14" xfId="4" applyFont="1" applyBorder="1" applyAlignment="1">
      <alignment horizontal="center"/>
    </xf>
    <xf numFmtId="0" fontId="45" fillId="0" borderId="14" xfId="4" applyFont="1" applyBorder="1" applyAlignment="1">
      <alignment horizontal="center"/>
    </xf>
    <xf numFmtId="10" fontId="29" fillId="0" borderId="16" xfId="6" applyNumberFormat="1" applyFont="1" applyBorder="1" applyAlignment="1">
      <alignment horizontal="center"/>
    </xf>
    <xf numFmtId="0" fontId="29" fillId="0" borderId="14" xfId="4" applyFont="1" applyBorder="1" applyAlignment="1">
      <alignment horizontal="center"/>
    </xf>
    <xf numFmtId="2" fontId="45" fillId="0" borderId="14" xfId="4" applyNumberFormat="1" applyFont="1" applyBorder="1" applyAlignment="1">
      <alignment horizontal="center"/>
    </xf>
    <xf numFmtId="0" fontId="35" fillId="0" borderId="0" xfId="4" applyFont="1" applyAlignment="1">
      <alignment horizontal="center"/>
    </xf>
    <xf numFmtId="0" fontId="39" fillId="0" borderId="0" xfId="4" applyFont="1" applyAlignment="1">
      <alignment horizontal="center"/>
    </xf>
    <xf numFmtId="44" fontId="38" fillId="7" borderId="14" xfId="5" applyFont="1" applyFill="1" applyBorder="1"/>
    <xf numFmtId="10" fontId="38" fillId="7" borderId="1" xfId="4" applyNumberFormat="1" applyFont="1" applyFill="1" applyBorder="1" applyAlignment="1">
      <alignment horizontal="center"/>
    </xf>
    <xf numFmtId="44" fontId="38" fillId="8" borderId="14" xfId="5" applyFont="1" applyFill="1" applyBorder="1"/>
    <xf numFmtId="44" fontId="39" fillId="0" borderId="0" xfId="5" applyFont="1" applyBorder="1"/>
    <xf numFmtId="0" fontId="38" fillId="8" borderId="14" xfId="4" applyFont="1" applyFill="1" applyBorder="1" applyAlignment="1">
      <alignment horizontal="center"/>
    </xf>
    <xf numFmtId="0" fontId="38" fillId="0" borderId="14" xfId="4" applyFont="1" applyBorder="1"/>
    <xf numFmtId="44" fontId="38" fillId="8" borderId="14" xfId="4" applyNumberFormat="1" applyFont="1" applyFill="1" applyBorder="1"/>
    <xf numFmtId="0" fontId="38" fillId="0" borderId="19" xfId="4" applyFont="1" applyBorder="1"/>
    <xf numFmtId="44" fontId="38" fillId="8" borderId="19" xfId="4" applyNumberFormat="1" applyFont="1" applyFill="1" applyBorder="1"/>
    <xf numFmtId="44" fontId="38" fillId="8" borderId="19" xfId="5" applyFont="1" applyFill="1" applyBorder="1"/>
    <xf numFmtId="0" fontId="38" fillId="0" borderId="1" xfId="4" applyFont="1" applyBorder="1"/>
    <xf numFmtId="44" fontId="38" fillId="8" borderId="1" xfId="4" applyNumberFormat="1" applyFont="1" applyFill="1" applyBorder="1"/>
    <xf numFmtId="44" fontId="38" fillId="8" borderId="15" xfId="4" applyNumberFormat="1" applyFont="1" applyFill="1" applyBorder="1"/>
    <xf numFmtId="170" fontId="33" fillId="9" borderId="14" xfId="4" applyNumberFormat="1" applyFill="1" applyBorder="1"/>
    <xf numFmtId="168" fontId="26" fillId="2" borderId="0" xfId="0" applyNumberFormat="1" applyFont="1" applyFill="1" applyAlignment="1" applyProtection="1">
      <alignment horizontal="center"/>
      <protection locked="0"/>
    </xf>
    <xf numFmtId="167" fontId="26" fillId="0" borderId="0" xfId="1" applyFont="1">
      <protection locked="0"/>
    </xf>
    <xf numFmtId="7" fontId="26" fillId="0" borderId="0" xfId="1" applyNumberFormat="1" applyFont="1">
      <protection locked="0"/>
    </xf>
    <xf numFmtId="168" fontId="24" fillId="0" borderId="1" xfId="1" applyNumberFormat="1" applyFont="1" applyBorder="1" applyAlignment="1">
      <alignment horizontal="center"/>
      <protection locked="0"/>
    </xf>
    <xf numFmtId="5" fontId="13" fillId="0" borderId="0" xfId="0" applyNumberFormat="1" applyFont="1"/>
    <xf numFmtId="168" fontId="25" fillId="2" borderId="0" xfId="0" applyNumberFormat="1" applyFont="1" applyFill="1" applyAlignment="1" applyProtection="1">
      <alignment horizontal="center"/>
      <protection locked="0"/>
    </xf>
    <xf numFmtId="0" fontId="5" fillId="0" borderId="0" xfId="0" applyFont="1" applyProtection="1">
      <protection locked="0"/>
    </xf>
    <xf numFmtId="0" fontId="27" fillId="0" borderId="0" xfId="0" applyFont="1" applyAlignment="1" applyProtection="1">
      <alignment horizontal="center"/>
      <protection locked="0"/>
    </xf>
    <xf numFmtId="0" fontId="27" fillId="0" borderId="0" xfId="0" applyFont="1" applyProtection="1">
      <protection locked="0"/>
    </xf>
    <xf numFmtId="164" fontId="6" fillId="2" borderId="0" xfId="0" applyNumberFormat="1" applyFont="1" applyFill="1" applyAlignment="1" applyProtection="1">
      <alignment horizontal="center"/>
      <protection locked="0"/>
    </xf>
    <xf numFmtId="164" fontId="6"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39" fontId="6" fillId="0" borderId="0" xfId="0" applyNumberFormat="1" applyFont="1" applyProtection="1">
      <protection locked="0"/>
    </xf>
    <xf numFmtId="165" fontId="27" fillId="0" borderId="14" xfId="0" applyNumberFormat="1" applyFont="1" applyBorder="1" applyProtection="1">
      <protection locked="0"/>
    </xf>
    <xf numFmtId="0" fontId="30" fillId="2" borderId="14" xfId="0" applyFont="1" applyFill="1" applyBorder="1" applyAlignment="1" applyProtection="1">
      <alignment horizontal="center"/>
      <protection locked="0"/>
    </xf>
    <xf numFmtId="165" fontId="5" fillId="0" borderId="0" xfId="0" applyNumberFormat="1" applyFont="1" applyProtection="1">
      <protection locked="0"/>
    </xf>
    <xf numFmtId="0" fontId="27" fillId="0" borderId="0" xfId="0" applyFont="1" applyAlignment="1" applyProtection="1">
      <alignment horizontal="left" indent="1"/>
      <protection locked="0"/>
    </xf>
    <xf numFmtId="5" fontId="27" fillId="0" borderId="5" xfId="0" applyNumberFormat="1" applyFont="1" applyBorder="1" applyProtection="1">
      <protection locked="0"/>
    </xf>
    <xf numFmtId="5" fontId="5" fillId="0" borderId="0" xfId="0" applyNumberFormat="1" applyFont="1"/>
    <xf numFmtId="5" fontId="27" fillId="0" borderId="0" xfId="0" applyNumberFormat="1" applyFont="1" applyProtection="1">
      <protection locked="0"/>
    </xf>
    <xf numFmtId="7" fontId="27" fillId="0" borderId="0" xfId="0" applyNumberFormat="1" applyFont="1" applyProtection="1">
      <protection locked="0"/>
    </xf>
    <xf numFmtId="7" fontId="13" fillId="0" borderId="0" xfId="0" applyNumberFormat="1" applyFont="1" applyProtection="1">
      <protection locked="0"/>
    </xf>
    <xf numFmtId="166" fontId="27" fillId="0" borderId="0" xfId="0" applyNumberFormat="1" applyFont="1" applyProtection="1">
      <protection locked="0"/>
    </xf>
    <xf numFmtId="0" fontId="27" fillId="3" borderId="14" xfId="0" applyFont="1" applyFill="1" applyBorder="1" applyAlignment="1" applyProtection="1">
      <alignment horizontal="center"/>
      <protection locked="0"/>
    </xf>
    <xf numFmtId="7" fontId="5" fillId="0" borderId="0" xfId="0" applyNumberFormat="1" applyFont="1"/>
    <xf numFmtId="168" fontId="22" fillId="2" borderId="0" xfId="1" applyNumberFormat="1" applyFont="1" applyFill="1" applyAlignment="1">
      <alignment horizontal="center"/>
      <protection locked="0"/>
    </xf>
    <xf numFmtId="169" fontId="52" fillId="6" borderId="15" xfId="5" applyNumberFormat="1" applyFont="1" applyFill="1" applyBorder="1"/>
    <xf numFmtId="169" fontId="52" fillId="6" borderId="1" xfId="5" applyNumberFormat="1" applyFont="1" applyFill="1" applyBorder="1"/>
    <xf numFmtId="39" fontId="22" fillId="0" borderId="0" xfId="1" applyNumberFormat="1" applyFont="1">
      <protection locked="0"/>
    </xf>
    <xf numFmtId="39" fontId="26" fillId="2" borderId="0" xfId="1" applyNumberFormat="1" applyFont="1" applyFill="1" applyAlignment="1">
      <alignment horizontal="center"/>
      <protection locked="0"/>
    </xf>
    <xf numFmtId="0" fontId="17" fillId="0" borderId="0" xfId="0" applyFont="1"/>
    <xf numFmtId="0" fontId="2" fillId="0" borderId="2" xfId="2" applyFont="1" applyBorder="1"/>
    <xf numFmtId="0" fontId="5" fillId="0" borderId="3" xfId="2" applyFont="1" applyBorder="1"/>
    <xf numFmtId="0" fontId="5" fillId="0" borderId="0" xfId="2" applyFont="1"/>
    <xf numFmtId="0" fontId="3" fillId="0" borderId="0" xfId="2" applyFont="1"/>
    <xf numFmtId="0" fontId="5" fillId="0" borderId="0" xfId="2" applyFont="1" applyAlignment="1">
      <alignment horizontal="center"/>
    </xf>
    <xf numFmtId="0" fontId="10" fillId="0" borderId="0" xfId="2" applyFont="1"/>
    <xf numFmtId="7" fontId="6" fillId="0" borderId="0" xfId="2" applyNumberFormat="1" applyFont="1"/>
    <xf numFmtId="37" fontId="6" fillId="0" borderId="0" xfId="2" applyNumberFormat="1" applyFont="1"/>
    <xf numFmtId="0" fontId="6" fillId="0" borderId="0" xfId="2" applyFont="1"/>
    <xf numFmtId="7" fontId="13" fillId="0" borderId="0" xfId="2" applyNumberFormat="1" applyFont="1"/>
    <xf numFmtId="37" fontId="13" fillId="0" borderId="0" xfId="2" applyNumberFormat="1" applyFont="1"/>
    <xf numFmtId="0" fontId="1" fillId="0" borderId="0" xfId="2" applyFont="1"/>
    <xf numFmtId="37" fontId="1" fillId="0" borderId="5" xfId="2" applyNumberFormat="1" applyFont="1" applyBorder="1"/>
    <xf numFmtId="5" fontId="1" fillId="0" borderId="5" xfId="2" applyNumberFormat="1" applyFont="1" applyBorder="1"/>
    <xf numFmtId="5" fontId="15" fillId="0" borderId="0" xfId="2" applyNumberFormat="1" applyFont="1"/>
    <xf numFmtId="37" fontId="5" fillId="0" borderId="0" xfId="2" applyNumberFormat="1" applyFont="1"/>
    <xf numFmtId="0" fontId="1" fillId="0" borderId="0" xfId="2" applyFont="1" applyAlignment="1">
      <alignment horizontal="center"/>
    </xf>
    <xf numFmtId="5" fontId="13" fillId="0" borderId="0" xfId="2" applyNumberFormat="1" applyFont="1"/>
    <xf numFmtId="171" fontId="1" fillId="0" borderId="0" xfId="2" applyNumberFormat="1" applyFont="1"/>
    <xf numFmtId="37" fontId="15" fillId="0" borderId="0" xfId="2" applyNumberFormat="1" applyFont="1"/>
    <xf numFmtId="164" fontId="1" fillId="0" borderId="0" xfId="2" applyNumberFormat="1" applyFont="1" applyAlignment="1">
      <alignment horizontal="center"/>
    </xf>
    <xf numFmtId="5" fontId="5" fillId="0" borderId="0" xfId="2" applyNumberFormat="1" applyFont="1"/>
    <xf numFmtId="0" fontId="1" fillId="0" borderId="0" xfId="2" applyFont="1" applyAlignment="1">
      <alignment horizontal="left" indent="1"/>
    </xf>
    <xf numFmtId="5" fontId="27" fillId="0" borderId="0" xfId="2" applyNumberFormat="1" applyFont="1"/>
    <xf numFmtId="5" fontId="1" fillId="0" borderId="0" xfId="2" applyNumberFormat="1" applyFont="1"/>
    <xf numFmtId="0" fontId="10" fillId="0" borderId="0" xfId="2" applyFont="1" applyAlignment="1">
      <alignment horizontal="left"/>
    </xf>
    <xf numFmtId="0" fontId="1" fillId="0" borderId="20" xfId="2" applyFont="1" applyBorder="1" applyAlignment="1">
      <alignment horizontal="center"/>
    </xf>
    <xf numFmtId="5" fontId="6" fillId="0" borderId="0" xfId="2" applyNumberFormat="1" applyFont="1"/>
    <xf numFmtId="164" fontId="5" fillId="0" borderId="0" xfId="2" applyNumberFormat="1" applyFont="1" applyAlignment="1">
      <alignment horizontal="center"/>
    </xf>
    <xf numFmtId="7" fontId="6" fillId="0" borderId="0" xfId="2" applyNumberFormat="1" applyFont="1" applyAlignment="1">
      <alignment horizontal="center"/>
    </xf>
    <xf numFmtId="172" fontId="13" fillId="0" borderId="0" xfId="2" applyNumberFormat="1" applyFont="1"/>
    <xf numFmtId="172" fontId="1" fillId="0" borderId="0" xfId="2" applyNumberFormat="1" applyFont="1"/>
    <xf numFmtId="0" fontId="1" fillId="0" borderId="21" xfId="2" applyFont="1" applyBorder="1"/>
    <xf numFmtId="0" fontId="5" fillId="0" borderId="22" xfId="2" applyFont="1" applyBorder="1"/>
    <xf numFmtId="0" fontId="5" fillId="0" borderId="23" xfId="2" applyFont="1" applyBorder="1"/>
    <xf numFmtId="0" fontId="5" fillId="0" borderId="24" xfId="2" applyFont="1" applyBorder="1"/>
    <xf numFmtId="0" fontId="5" fillId="0" borderId="25" xfId="2" applyFont="1" applyBorder="1"/>
    <xf numFmtId="39" fontId="13" fillId="0" borderId="0" xfId="2" applyNumberFormat="1" applyFont="1"/>
    <xf numFmtId="0" fontId="1" fillId="0" borderId="4" xfId="2" applyFont="1" applyBorder="1" applyAlignment="1">
      <alignment horizontal="center"/>
    </xf>
    <xf numFmtId="0" fontId="1" fillId="0" borderId="24" xfId="2" applyFont="1" applyBorder="1" applyAlignment="1">
      <alignment horizontal="left" indent="1"/>
    </xf>
    <xf numFmtId="7" fontId="1" fillId="0" borderId="5" xfId="2" applyNumberFormat="1" applyFont="1" applyBorder="1"/>
    <xf numFmtId="7" fontId="5" fillId="0" borderId="0" xfId="2" applyNumberFormat="1" applyFont="1"/>
    <xf numFmtId="167" fontId="6" fillId="0" borderId="0" xfId="2" applyNumberFormat="1" applyFont="1"/>
    <xf numFmtId="167" fontId="13" fillId="0" borderId="0" xfId="2" applyNumberFormat="1" applyFont="1"/>
    <xf numFmtId="167" fontId="1" fillId="0" borderId="26" xfId="2" applyNumberFormat="1" applyFont="1" applyBorder="1"/>
    <xf numFmtId="0" fontId="1" fillId="0" borderId="25" xfId="2" applyFont="1" applyBorder="1" applyAlignment="1">
      <alignment horizontal="center"/>
    </xf>
    <xf numFmtId="0" fontId="1" fillId="0" borderId="27" xfId="2" applyFont="1" applyBorder="1" applyAlignment="1">
      <alignment horizontal="center"/>
    </xf>
    <xf numFmtId="173" fontId="1" fillId="0" borderId="5" xfId="2" applyNumberFormat="1" applyFont="1" applyBorder="1"/>
    <xf numFmtId="0" fontId="1" fillId="0" borderId="24" xfId="2" applyFont="1" applyBorder="1"/>
    <xf numFmtId="5" fontId="30" fillId="0" borderId="0" xfId="2" applyNumberFormat="1" applyFont="1"/>
    <xf numFmtId="172" fontId="5" fillId="0" borderId="0" xfId="2" applyNumberFormat="1" applyFont="1"/>
    <xf numFmtId="0" fontId="5" fillId="0" borderId="28" xfId="2" applyFont="1" applyBorder="1"/>
    <xf numFmtId="0" fontId="5" fillId="0" borderId="29" xfId="2" applyFont="1" applyBorder="1"/>
    <xf numFmtId="0" fontId="5" fillId="0" borderId="30" xfId="2" applyFont="1" applyBorder="1"/>
    <xf numFmtId="170" fontId="6" fillId="0" borderId="0" xfId="0" applyNumberFormat="1" applyFont="1"/>
    <xf numFmtId="170" fontId="1" fillId="0" borderId="0" xfId="2" applyNumberFormat="1" applyFont="1"/>
    <xf numFmtId="0" fontId="13" fillId="0" borderId="0" xfId="2" applyFont="1"/>
    <xf numFmtId="0" fontId="5" fillId="5" borderId="0" xfId="2" applyFont="1" applyFill="1"/>
    <xf numFmtId="0" fontId="5" fillId="3" borderId="0" xfId="2" applyFont="1" applyFill="1"/>
    <xf numFmtId="0" fontId="1" fillId="0" borderId="0" xfId="2" applyFont="1" applyAlignment="1">
      <alignment horizontal="right"/>
    </xf>
    <xf numFmtId="37" fontId="15" fillId="0" borderId="0" xfId="0" applyNumberFormat="1" applyFont="1"/>
    <xf numFmtId="7" fontId="13" fillId="0" borderId="0" xfId="0" applyNumberFormat="1" applyFont="1"/>
    <xf numFmtId="0" fontId="5" fillId="0" borderId="0" xfId="0" applyFont="1" applyAlignment="1">
      <alignment horizontal="center"/>
    </xf>
    <xf numFmtId="0" fontId="5" fillId="0" borderId="24" xfId="0" applyFont="1" applyBorder="1"/>
    <xf numFmtId="0" fontId="5" fillId="0" borderId="25" xfId="0" applyFont="1" applyBorder="1"/>
    <xf numFmtId="0" fontId="10" fillId="0" borderId="21" xfId="0" applyFont="1" applyBorder="1"/>
    <xf numFmtId="0" fontId="5" fillId="0" borderId="22" xfId="0" applyFont="1" applyBorder="1"/>
    <xf numFmtId="0" fontId="5" fillId="0" borderId="23" xfId="0" applyFont="1" applyBorder="1"/>
    <xf numFmtId="174" fontId="6" fillId="0" borderId="0" xfId="0" applyNumberFormat="1" applyFont="1"/>
    <xf numFmtId="174" fontId="13" fillId="0" borderId="0" xfId="0" applyNumberFormat="1" applyFont="1"/>
    <xf numFmtId="0" fontId="1" fillId="0" borderId="24" xfId="0" applyFont="1" applyBorder="1" applyAlignment="1">
      <alignment horizontal="center"/>
    </xf>
    <xf numFmtId="0" fontId="1" fillId="0" borderId="25" xfId="0" applyFont="1" applyBorder="1" applyAlignment="1">
      <alignment horizontal="center"/>
    </xf>
    <xf numFmtId="0" fontId="1" fillId="0" borderId="24" xfId="0" applyFont="1" applyBorder="1"/>
    <xf numFmtId="173" fontId="1" fillId="0" borderId="26" xfId="0" applyNumberFormat="1" applyFont="1" applyBorder="1"/>
    <xf numFmtId="14" fontId="1" fillId="0" borderId="0" xfId="0" applyNumberFormat="1" applyFont="1" applyAlignment="1">
      <alignment horizontal="center"/>
    </xf>
    <xf numFmtId="167" fontId="5" fillId="0" borderId="0" xfId="0" applyNumberFormat="1" applyFont="1"/>
    <xf numFmtId="0" fontId="6" fillId="0" borderId="24" xfId="0" applyFont="1" applyBorder="1"/>
    <xf numFmtId="167" fontId="6" fillId="0" borderId="0" xfId="0" applyNumberFormat="1" applyFont="1"/>
    <xf numFmtId="175" fontId="1" fillId="0" borderId="31" xfId="0" applyNumberFormat="1" applyFont="1" applyBorder="1"/>
    <xf numFmtId="167" fontId="6" fillId="0" borderId="34" xfId="0" applyNumberFormat="1" applyFont="1" applyBorder="1"/>
    <xf numFmtId="0" fontId="3" fillId="0" borderId="28" xfId="0" applyFont="1" applyBorder="1"/>
    <xf numFmtId="0" fontId="5" fillId="0" borderId="29" xfId="0" applyFont="1" applyBorder="1"/>
    <xf numFmtId="0" fontId="5" fillId="0" borderId="30" xfId="0" applyFont="1" applyBorder="1"/>
    <xf numFmtId="173" fontId="30" fillId="0" borderId="0" xfId="0" applyNumberFormat="1" applyFont="1"/>
    <xf numFmtId="172" fontId="1" fillId="0" borderId="0" xfId="0" applyNumberFormat="1" applyFont="1"/>
    <xf numFmtId="172" fontId="5" fillId="0" borderId="0" xfId="0" applyNumberFormat="1" applyFont="1"/>
    <xf numFmtId="173" fontId="6" fillId="0" borderId="0" xfId="0" applyNumberFormat="1" applyFont="1"/>
    <xf numFmtId="173" fontId="1" fillId="0" borderId="0" xfId="0" applyNumberFormat="1" applyFont="1"/>
    <xf numFmtId="0" fontId="5" fillId="0" borderId="28" xfId="0" applyFont="1" applyBorder="1"/>
    <xf numFmtId="173" fontId="1" fillId="0" borderId="29" xfId="0" applyNumberFormat="1" applyFont="1" applyBorder="1"/>
    <xf numFmtId="172" fontId="1" fillId="0" borderId="29" xfId="0" applyNumberFormat="1" applyFont="1" applyBorder="1"/>
    <xf numFmtId="164" fontId="1" fillId="0" borderId="32" xfId="0" applyNumberFormat="1" applyFont="1" applyBorder="1" applyAlignment="1">
      <alignment horizontal="center"/>
    </xf>
    <xf numFmtId="173" fontId="1" fillId="0" borderId="33" xfId="0" applyNumberFormat="1" applyFont="1" applyBorder="1"/>
    <xf numFmtId="173" fontId="12" fillId="0" borderId="0" xfId="0" applyNumberFormat="1" applyFont="1"/>
    <xf numFmtId="173" fontId="5" fillId="0" borderId="0" xfId="0" applyNumberFormat="1" applyFont="1"/>
    <xf numFmtId="173" fontId="1" fillId="0" borderId="15" xfId="0" applyNumberFormat="1" applyFont="1" applyBorder="1"/>
    <xf numFmtId="172" fontId="5" fillId="0" borderId="29" xfId="0" applyNumberFormat="1" applyFont="1" applyBorder="1"/>
    <xf numFmtId="0" fontId="1" fillId="0" borderId="7" xfId="2" applyFont="1" applyBorder="1" applyAlignment="1">
      <alignment horizontal="centerContinuous"/>
    </xf>
    <xf numFmtId="0" fontId="5" fillId="0" borderId="8" xfId="2" applyFont="1" applyBorder="1" applyAlignment="1">
      <alignment horizontal="centerContinuous"/>
    </xf>
    <xf numFmtId="0" fontId="5" fillId="0" borderId="9" xfId="2" applyFont="1" applyBorder="1" applyAlignment="1">
      <alignment horizontal="centerContinuous"/>
    </xf>
    <xf numFmtId="172" fontId="30" fillId="0" borderId="1" xfId="2" applyNumberFormat="1" applyFont="1" applyBorder="1" applyAlignment="1">
      <alignment horizontal="center"/>
    </xf>
    <xf numFmtId="172" fontId="27" fillId="0" borderId="1" xfId="2" applyNumberFormat="1" applyFont="1" applyBorder="1" applyAlignment="1">
      <alignment horizontal="center"/>
    </xf>
    <xf numFmtId="7" fontId="1" fillId="0" borderId="0" xfId="2" applyNumberFormat="1" applyFont="1"/>
    <xf numFmtId="0" fontId="1" fillId="0" borderId="8" xfId="2" applyFont="1" applyBorder="1" applyAlignment="1">
      <alignment horizontal="centerContinuous"/>
    </xf>
    <xf numFmtId="0" fontId="1" fillId="0" borderId="9" xfId="2" applyFont="1" applyBorder="1" applyAlignment="1">
      <alignment horizontal="centerContinuous"/>
    </xf>
    <xf numFmtId="164" fontId="1" fillId="0" borderId="34" xfId="2" applyNumberFormat="1" applyFont="1" applyBorder="1" applyAlignment="1">
      <alignment horizontal="center"/>
    </xf>
    <xf numFmtId="164" fontId="1" fillId="0" borderId="10" xfId="2" applyNumberFormat="1" applyFont="1" applyBorder="1" applyAlignment="1">
      <alignment horizontal="center"/>
    </xf>
    <xf numFmtId="0" fontId="1" fillId="0" borderId="1" xfId="2" applyFont="1" applyBorder="1" applyAlignment="1">
      <alignment horizontal="center"/>
    </xf>
    <xf numFmtId="166" fontId="5" fillId="0" borderId="0" xfId="2" applyNumberFormat="1" applyFont="1"/>
    <xf numFmtId="166" fontId="1" fillId="0" borderId="0" xfId="2" applyNumberFormat="1" applyFont="1"/>
    <xf numFmtId="37" fontId="1" fillId="0" borderId="0" xfId="2" applyNumberFormat="1" applyFont="1"/>
    <xf numFmtId="167" fontId="1" fillId="0" borderId="0" xfId="2" applyNumberFormat="1" applyFont="1"/>
    <xf numFmtId="0" fontId="5" fillId="0" borderId="8" xfId="0" applyFont="1" applyBorder="1" applyAlignment="1">
      <alignment horizontal="centerContinuous"/>
    </xf>
    <xf numFmtId="0" fontId="5" fillId="0" borderId="9" xfId="0" applyFont="1" applyBorder="1" applyAlignment="1">
      <alignment horizontal="centerContinuous"/>
    </xf>
    <xf numFmtId="172" fontId="27" fillId="0" borderId="1" xfId="0" applyNumberFormat="1" applyFont="1" applyBorder="1" applyAlignment="1">
      <alignment horizontal="center"/>
    </xf>
    <xf numFmtId="172" fontId="30" fillId="0" borderId="1" xfId="0" applyNumberFormat="1" applyFont="1" applyBorder="1" applyAlignment="1">
      <alignment horizontal="center"/>
    </xf>
    <xf numFmtId="168" fontId="6" fillId="0" borderId="0" xfId="0" applyNumberFormat="1" applyFont="1"/>
    <xf numFmtId="10" fontId="5" fillId="0" borderId="0" xfId="0" applyNumberFormat="1" applyFont="1"/>
    <xf numFmtId="0" fontId="1" fillId="0" borderId="34" xfId="0" applyFont="1" applyBorder="1"/>
    <xf numFmtId="0" fontId="5" fillId="0" borderId="34" xfId="0" applyFont="1" applyBorder="1"/>
    <xf numFmtId="0" fontId="1" fillId="0" borderId="34" xfId="0" applyFont="1" applyBorder="1" applyAlignment="1">
      <alignment horizontal="right"/>
    </xf>
    <xf numFmtId="39" fontId="5" fillId="0" borderId="35" xfId="0" applyNumberFormat="1" applyFont="1" applyBorder="1"/>
    <xf numFmtId="39" fontId="5" fillId="0" borderId="26" xfId="0" applyNumberFormat="1" applyFont="1" applyBorder="1"/>
    <xf numFmtId="39" fontId="5" fillId="0" borderId="36" xfId="0" applyNumberFormat="1" applyFont="1" applyBorder="1"/>
    <xf numFmtId="39" fontId="5" fillId="0" borderId="0" xfId="0" applyNumberFormat="1" applyFont="1"/>
    <xf numFmtId="39" fontId="5" fillId="2" borderId="0" xfId="0" applyNumberFormat="1" applyFont="1" applyFill="1"/>
    <xf numFmtId="39" fontId="5" fillId="2" borderId="14" xfId="0" applyNumberFormat="1" applyFont="1" applyFill="1" applyBorder="1"/>
    <xf numFmtId="166" fontId="5" fillId="0" borderId="35" xfId="0" applyNumberFormat="1" applyFont="1" applyBorder="1"/>
    <xf numFmtId="166" fontId="5" fillId="0" borderId="26" xfId="0" applyNumberFormat="1" applyFont="1" applyBorder="1"/>
    <xf numFmtId="166" fontId="5" fillId="0" borderId="36" xfId="0" applyNumberFormat="1" applyFont="1" applyBorder="1"/>
    <xf numFmtId="166" fontId="5" fillId="0" borderId="0" xfId="0" applyNumberFormat="1" applyFont="1"/>
    <xf numFmtId="168" fontId="11" fillId="0" borderId="0" xfId="0" applyNumberFormat="1" applyFont="1"/>
    <xf numFmtId="7" fontId="1" fillId="0" borderId="0" xfId="0" applyNumberFormat="1" applyFont="1"/>
    <xf numFmtId="7" fontId="4" fillId="0" borderId="0" xfId="0" applyNumberFormat="1" applyFont="1"/>
    <xf numFmtId="0" fontId="44" fillId="0" borderId="17" xfId="4" applyFont="1" applyBorder="1" applyAlignment="1">
      <alignment horizontal="center"/>
    </xf>
    <xf numFmtId="0" fontId="44" fillId="0" borderId="18" xfId="4" applyFont="1" applyBorder="1" applyAlignment="1">
      <alignment horizontal="center"/>
    </xf>
  </cellXfs>
  <cellStyles count="7">
    <cellStyle name="Currency 2" xfId="5" xr:uid="{715B0151-8801-440C-9299-FF8B882E2921}"/>
    <cellStyle name="Hyperlink" xfId="3" builtinId="8"/>
    <cellStyle name="Normal" xfId="0" builtinId="0"/>
    <cellStyle name="Normal 2" xfId="4" xr:uid="{1F09B0D3-DD4B-4239-86AD-87EE4719BB2F}"/>
    <cellStyle name="Normal 2 2" xfId="2" xr:uid="{08843342-A4FA-4D3B-B672-B9C828714414}"/>
    <cellStyle name="Normal 3" xfId="1" xr:uid="{A4762E37-4C07-4FF5-BAAB-A9511B79854E}"/>
    <cellStyle name="Percent 2" xfId="6" xr:uid="{DC5C5FEC-90DD-4F19-91EF-5C38DEFD3AC6}"/>
  </cellStyles>
  <dxfs count="11">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www.newyorkfed.org/markets/reference-rates/sofr"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BF6A-E2D8-4CC7-9F63-3AE33BD0FCA3}">
  <dimension ref="A1:I14"/>
  <sheetViews>
    <sheetView tabSelected="1" topLeftCell="A23" zoomScale="130" zoomScaleNormal="130" workbookViewId="0">
      <selection activeCell="A26" sqref="A26"/>
    </sheetView>
  </sheetViews>
  <sheetFormatPr baseColWidth="10" defaultColWidth="8.625" defaultRowHeight="14"/>
  <cols>
    <col min="1" max="1" width="19.125" bestFit="1" customWidth="1"/>
    <col min="6" max="6" width="9.25" bestFit="1" customWidth="1"/>
  </cols>
  <sheetData>
    <row r="1" spans="1:9" ht="30">
      <c r="A1" s="4" t="s">
        <v>0</v>
      </c>
      <c r="B1" s="5"/>
      <c r="C1" s="5"/>
      <c r="D1" s="5"/>
      <c r="E1" s="5"/>
      <c r="F1" s="5"/>
      <c r="G1" s="5"/>
      <c r="H1" s="5"/>
      <c r="I1" s="5"/>
    </row>
    <row r="2" spans="1:9" ht="15" thickBot="1"/>
    <row r="3" spans="1:9" ht="15" thickBot="1">
      <c r="B3" s="2" t="s">
        <v>1</v>
      </c>
    </row>
    <row r="4" spans="1:9">
      <c r="A4" t="s">
        <v>585</v>
      </c>
      <c r="B4" s="3">
        <v>1</v>
      </c>
    </row>
    <row r="5" spans="1:9">
      <c r="A5" t="s">
        <v>241</v>
      </c>
      <c r="B5" s="3">
        <f>B4+1</f>
        <v>2</v>
      </c>
    </row>
    <row r="6" spans="1:9">
      <c r="A6" t="s">
        <v>586</v>
      </c>
      <c r="B6" s="3">
        <f t="shared" ref="B6:B14" si="0">B5+1</f>
        <v>3</v>
      </c>
    </row>
    <row r="7" spans="1:9">
      <c r="A7" t="s">
        <v>3</v>
      </c>
      <c r="B7" s="3">
        <f t="shared" si="0"/>
        <v>4</v>
      </c>
    </row>
    <row r="8" spans="1:9">
      <c r="A8" t="s">
        <v>2</v>
      </c>
      <c r="B8" s="3">
        <f t="shared" si="0"/>
        <v>5</v>
      </c>
    </row>
    <row r="9" spans="1:9">
      <c r="A9" t="s">
        <v>249</v>
      </c>
      <c r="B9" s="3">
        <f t="shared" si="0"/>
        <v>6</v>
      </c>
    </row>
    <row r="10" spans="1:9">
      <c r="A10" t="s">
        <v>587</v>
      </c>
      <c r="B10" s="3">
        <f t="shared" si="0"/>
        <v>7</v>
      </c>
    </row>
    <row r="11" spans="1:9">
      <c r="A11" t="s">
        <v>588</v>
      </c>
      <c r="B11" s="3">
        <f t="shared" si="0"/>
        <v>8</v>
      </c>
    </row>
    <row r="12" spans="1:9">
      <c r="A12" t="s">
        <v>589</v>
      </c>
      <c r="B12" s="3">
        <f t="shared" si="0"/>
        <v>9</v>
      </c>
    </row>
    <row r="13" spans="1:9">
      <c r="A13" t="s">
        <v>590</v>
      </c>
      <c r="B13" s="3">
        <f t="shared" si="0"/>
        <v>10</v>
      </c>
    </row>
    <row r="14" spans="1:9">
      <c r="A14" t="s">
        <v>198</v>
      </c>
      <c r="B14" s="3">
        <f t="shared" si="0"/>
        <v>11</v>
      </c>
    </row>
  </sheetData>
  <pageMargins left="0.7" right="0.7" top="0.75" bottom="0.75" header="0.3" footer="0.3"/>
  <pageSetup scale="99" orientation="landscape"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7FD8-5633-4425-8309-2090F9ACBEA1}">
  <sheetPr>
    <pageSetUpPr fitToPage="1"/>
  </sheetPr>
  <dimension ref="A1:Q45"/>
  <sheetViews>
    <sheetView zoomScaleNormal="100" workbookViewId="0">
      <pane xSplit="2" ySplit="4" topLeftCell="C5" activePane="bottomRight" state="frozen"/>
      <selection pane="topRight" activeCell="C1" sqref="C1"/>
      <selection pane="bottomLeft" activeCell="A5" sqref="A5"/>
      <selection pane="bottomRight" activeCell="C6" sqref="C6"/>
    </sheetView>
  </sheetViews>
  <sheetFormatPr baseColWidth="10" defaultColWidth="8.625" defaultRowHeight="14"/>
  <cols>
    <col min="1" max="1" width="3.375" customWidth="1"/>
    <col min="2" max="2" width="35.25" bestFit="1" customWidth="1"/>
    <col min="3" max="3" width="12.375" customWidth="1"/>
    <col min="4" max="4" width="11.375" bestFit="1" customWidth="1"/>
    <col min="5" max="5" width="11.75" bestFit="1" customWidth="1"/>
    <col min="6" max="6" width="11.375" bestFit="1" customWidth="1"/>
    <col min="7" max="7" width="11.25" bestFit="1" customWidth="1"/>
    <col min="8" max="9" width="11.375" bestFit="1" customWidth="1"/>
    <col min="10" max="10" width="11.75" bestFit="1" customWidth="1"/>
    <col min="11" max="12" width="11.375" bestFit="1" customWidth="1"/>
    <col min="13" max="13" width="11.75" bestFit="1" customWidth="1"/>
    <col min="14" max="14" width="9.875" bestFit="1" customWidth="1"/>
    <col min="16" max="16" width="10.75" bestFit="1" customWidth="1"/>
    <col min="17" max="17" width="13.375" bestFit="1" customWidth="1"/>
  </cols>
  <sheetData>
    <row r="1" spans="1:17" ht="30">
      <c r="A1" s="4" t="s">
        <v>4</v>
      </c>
      <c r="B1" s="5"/>
    </row>
    <row r="2" spans="1:17">
      <c r="B2" s="6" t="s">
        <v>5</v>
      </c>
    </row>
    <row r="4" spans="1:17">
      <c r="C4" s="7">
        <v>41882</v>
      </c>
      <c r="D4" s="7">
        <v>42247</v>
      </c>
      <c r="E4" s="7">
        <v>42613</v>
      </c>
      <c r="F4" s="7">
        <v>42978</v>
      </c>
      <c r="G4" s="7">
        <v>43343</v>
      </c>
      <c r="H4" s="7">
        <v>43708</v>
      </c>
      <c r="I4" s="7">
        <v>44074</v>
      </c>
      <c r="J4" s="7">
        <v>44439</v>
      </c>
      <c r="K4" s="7">
        <v>44804</v>
      </c>
      <c r="L4" s="7">
        <v>45169</v>
      </c>
      <c r="M4" s="7">
        <v>45535</v>
      </c>
    </row>
    <row r="5" spans="1:17">
      <c r="B5" s="1" t="s">
        <v>54</v>
      </c>
      <c r="C5" s="18"/>
      <c r="D5" s="18"/>
      <c r="E5" s="18"/>
      <c r="F5" s="18"/>
      <c r="G5" s="18"/>
      <c r="H5" s="18"/>
      <c r="I5" s="18"/>
      <c r="J5" s="18"/>
      <c r="K5" s="18"/>
      <c r="L5" s="18"/>
    </row>
    <row r="6" spans="1:17" ht="19.5" customHeight="1">
      <c r="B6" t="s">
        <v>6</v>
      </c>
      <c r="C6" s="19">
        <v>57803</v>
      </c>
      <c r="D6" s="19">
        <v>53896</v>
      </c>
      <c r="E6" s="19">
        <v>50891</v>
      </c>
      <c r="F6" s="19">
        <v>37082</v>
      </c>
      <c r="G6" s="19">
        <v>48866</v>
      </c>
      <c r="H6" s="19">
        <v>27233</v>
      </c>
      <c r="I6" s="19">
        <v>56462</v>
      </c>
      <c r="J6" s="19">
        <v>85961</v>
      </c>
      <c r="K6" s="19">
        <v>37843</v>
      </c>
      <c r="L6" s="19">
        <v>48143</v>
      </c>
      <c r="M6" s="19">
        <v>46699</v>
      </c>
    </row>
    <row r="7" spans="1:17" ht="19.5" customHeight="1">
      <c r="B7" t="s">
        <v>55</v>
      </c>
      <c r="C7" s="20">
        <v>45050</v>
      </c>
      <c r="D7" s="20">
        <v>48603</v>
      </c>
      <c r="E7" s="20">
        <v>57633</v>
      </c>
      <c r="F7" s="20">
        <v>80166</v>
      </c>
      <c r="G7" s="20">
        <v>219</v>
      </c>
      <c r="H7" s="20">
        <v>0</v>
      </c>
      <c r="I7" s="20">
        <v>0</v>
      </c>
      <c r="J7" s="20">
        <v>0</v>
      </c>
      <c r="K7" s="20">
        <v>0</v>
      </c>
      <c r="L7" s="20">
        <v>0</v>
      </c>
      <c r="M7" s="20">
        <v>0</v>
      </c>
    </row>
    <row r="8" spans="1:17" ht="19.5" customHeight="1">
      <c r="B8" t="s">
        <v>7</v>
      </c>
      <c r="C8" s="20">
        <v>63618</v>
      </c>
      <c r="D8" s="20">
        <v>58750</v>
      </c>
      <c r="E8" s="20">
        <v>64680</v>
      </c>
      <c r="F8" s="20">
        <v>64259</v>
      </c>
      <c r="G8" s="20">
        <v>69025</v>
      </c>
      <c r="H8" s="20">
        <v>72864</v>
      </c>
      <c r="I8" s="20">
        <v>80672</v>
      </c>
      <c r="J8" s="20">
        <v>89558</v>
      </c>
      <c r="K8" s="20">
        <v>89930</v>
      </c>
      <c r="L8" s="20">
        <v>98039</v>
      </c>
      <c r="M8" s="12">
        <v>117493</v>
      </c>
    </row>
    <row r="9" spans="1:17" ht="19.5" customHeight="1">
      <c r="B9" t="s">
        <v>8</v>
      </c>
      <c r="C9" s="20">
        <v>34989</v>
      </c>
      <c r="D9" s="20">
        <v>32052</v>
      </c>
      <c r="E9" s="20">
        <v>31793</v>
      </c>
      <c r="F9" s="20">
        <v>35340</v>
      </c>
      <c r="G9" s="20">
        <v>36536</v>
      </c>
      <c r="H9" s="20">
        <v>40682</v>
      </c>
      <c r="I9" s="20">
        <v>41264</v>
      </c>
      <c r="J9" s="20">
        <v>55752</v>
      </c>
      <c r="K9" s="20">
        <v>104101</v>
      </c>
      <c r="L9" s="20">
        <v>86522</v>
      </c>
      <c r="M9" s="12">
        <v>79088</v>
      </c>
    </row>
    <row r="10" spans="1:17" ht="19.5" customHeight="1">
      <c r="B10" t="s">
        <v>56</v>
      </c>
      <c r="C10" s="20">
        <v>5855</v>
      </c>
      <c r="D10" s="20">
        <v>5824</v>
      </c>
      <c r="E10" s="20">
        <v>0</v>
      </c>
      <c r="F10" s="20">
        <v>0</v>
      </c>
      <c r="G10" s="20">
        <v>0</v>
      </c>
      <c r="H10" s="20">
        <v>0</v>
      </c>
      <c r="I10" s="20">
        <v>0</v>
      </c>
      <c r="J10" s="20">
        <v>0</v>
      </c>
      <c r="K10" s="20">
        <v>0</v>
      </c>
      <c r="L10" s="20">
        <v>0</v>
      </c>
      <c r="M10" s="20">
        <v>0</v>
      </c>
    </row>
    <row r="11" spans="1:17" ht="19.5" customHeight="1">
      <c r="B11" t="s">
        <v>9</v>
      </c>
      <c r="C11" s="20">
        <v>8339</v>
      </c>
      <c r="D11" s="20">
        <v>6127</v>
      </c>
      <c r="E11" s="20">
        <v>4475</v>
      </c>
      <c r="F11" s="20">
        <v>8007</v>
      </c>
      <c r="G11" s="20">
        <v>13337</v>
      </c>
      <c r="H11" s="20">
        <v>7216</v>
      </c>
      <c r="I11" s="20">
        <v>6756</v>
      </c>
      <c r="J11" s="20">
        <v>9948</v>
      </c>
      <c r="K11" s="20">
        <v>17766</v>
      </c>
      <c r="L11" s="20">
        <v>15821</v>
      </c>
      <c r="M11" s="12">
        <v>12161</v>
      </c>
    </row>
    <row r="12" spans="1:17" ht="19.5" customHeight="1">
      <c r="A12" s="9" t="s">
        <v>18</v>
      </c>
      <c r="B12" s="8" t="s">
        <v>10</v>
      </c>
      <c r="C12" s="13">
        <f t="shared" ref="C12:L12" si="0">SUM(C6:C11)</f>
        <v>215654</v>
      </c>
      <c r="D12" s="13">
        <f t="shared" si="0"/>
        <v>205252</v>
      </c>
      <c r="E12" s="13">
        <f t="shared" si="0"/>
        <v>209472</v>
      </c>
      <c r="F12" s="13">
        <f t="shared" si="0"/>
        <v>224854</v>
      </c>
      <c r="G12" s="13">
        <f t="shared" si="0"/>
        <v>167983</v>
      </c>
      <c r="H12" s="13">
        <f t="shared" si="0"/>
        <v>147995</v>
      </c>
      <c r="I12" s="13">
        <f t="shared" si="0"/>
        <v>185154</v>
      </c>
      <c r="J12" s="13">
        <f t="shared" si="0"/>
        <v>241219</v>
      </c>
      <c r="K12" s="13">
        <f t="shared" si="0"/>
        <v>249640</v>
      </c>
      <c r="L12" s="13">
        <f t="shared" si="0"/>
        <v>248525</v>
      </c>
      <c r="M12" s="13">
        <f>SUM(M6:M11)</f>
        <v>255441</v>
      </c>
    </row>
    <row r="13" spans="1:17" ht="19.5" customHeight="1">
      <c r="B13" t="s">
        <v>11</v>
      </c>
      <c r="C13" s="20">
        <v>9702</v>
      </c>
      <c r="D13" s="20">
        <v>11376</v>
      </c>
      <c r="E13" s="20">
        <v>11545</v>
      </c>
      <c r="F13" s="20">
        <v>29439</v>
      </c>
      <c r="G13" s="20">
        <v>36357</v>
      </c>
      <c r="H13" s="20">
        <v>45076</v>
      </c>
      <c r="I13" s="20">
        <v>60759</v>
      </c>
      <c r="J13" s="20">
        <v>70145</v>
      </c>
      <c r="K13" s="20">
        <v>65977</v>
      </c>
      <c r="L13" s="20">
        <v>66791</v>
      </c>
      <c r="M13" s="12">
        <v>62983</v>
      </c>
      <c r="P13" s="30" t="s">
        <v>96</v>
      </c>
      <c r="Q13" t="s">
        <v>100</v>
      </c>
    </row>
    <row r="14" spans="1:17" ht="19.5" customHeight="1">
      <c r="B14" t="s">
        <v>12</v>
      </c>
      <c r="C14" s="20">
        <v>95499</v>
      </c>
      <c r="D14" s="20">
        <v>96409</v>
      </c>
      <c r="E14" s="20">
        <v>95649</v>
      </c>
      <c r="F14" s="20">
        <v>95597</v>
      </c>
      <c r="G14" s="20">
        <v>95621</v>
      </c>
      <c r="H14" s="20">
        <v>95347</v>
      </c>
      <c r="I14" s="20">
        <v>95731</v>
      </c>
      <c r="J14" s="20">
        <v>95869</v>
      </c>
      <c r="K14" s="20">
        <v>95180</v>
      </c>
      <c r="L14" s="20">
        <v>95505</v>
      </c>
      <c r="M14" s="12">
        <v>96985</v>
      </c>
      <c r="P14" s="30" t="s">
        <v>97</v>
      </c>
      <c r="Q14" s="36" t="s">
        <v>101</v>
      </c>
    </row>
    <row r="15" spans="1:17" ht="19.5" customHeight="1">
      <c r="B15" t="s">
        <v>13</v>
      </c>
      <c r="C15" s="20">
        <v>23671</v>
      </c>
      <c r="D15" s="20">
        <v>22961</v>
      </c>
      <c r="E15" s="20">
        <v>19191</v>
      </c>
      <c r="F15" s="20">
        <v>16244</v>
      </c>
      <c r="G15" s="20">
        <v>13513</v>
      </c>
      <c r="H15" s="20">
        <v>10652</v>
      </c>
      <c r="I15" s="20">
        <v>8633</v>
      </c>
      <c r="J15" s="20">
        <v>7244</v>
      </c>
      <c r="K15" s="20">
        <v>5588</v>
      </c>
      <c r="L15" s="20">
        <v>4670</v>
      </c>
      <c r="M15" s="12">
        <v>6222</v>
      </c>
      <c r="P15" s="30" t="s">
        <v>98</v>
      </c>
      <c r="Q15" s="36" t="s">
        <v>102</v>
      </c>
    </row>
    <row r="16" spans="1:17" ht="19.5" customHeight="1">
      <c r="B16" t="s">
        <v>14</v>
      </c>
      <c r="C16" s="20">
        <v>0</v>
      </c>
      <c r="D16" s="20">
        <v>0</v>
      </c>
      <c r="E16" s="20">
        <v>0</v>
      </c>
      <c r="F16" s="20">
        <v>0</v>
      </c>
      <c r="G16" s="20">
        <v>0</v>
      </c>
      <c r="H16" s="20">
        <v>0</v>
      </c>
      <c r="I16" s="20">
        <v>8168</v>
      </c>
      <c r="J16" s="20">
        <v>8824</v>
      </c>
      <c r="K16" s="20">
        <v>7559</v>
      </c>
      <c r="L16" s="20">
        <v>7820</v>
      </c>
      <c r="M16" s="12">
        <v>11611</v>
      </c>
      <c r="P16" s="30" t="s">
        <v>99</v>
      </c>
      <c r="Q16" s="36" t="s">
        <v>103</v>
      </c>
    </row>
    <row r="17" spans="1:15" ht="19.5" customHeight="1">
      <c r="B17" t="s">
        <v>15</v>
      </c>
      <c r="C17" s="20">
        <v>0</v>
      </c>
      <c r="D17" s="20">
        <v>0</v>
      </c>
      <c r="E17" s="20">
        <v>621</v>
      </c>
      <c r="F17" s="20">
        <v>495</v>
      </c>
      <c r="G17" s="20">
        <v>511</v>
      </c>
      <c r="H17" s="20">
        <v>403</v>
      </c>
      <c r="I17" s="20">
        <v>464</v>
      </c>
      <c r="J17" s="20">
        <v>858</v>
      </c>
      <c r="K17" s="20">
        <v>679</v>
      </c>
      <c r="L17" s="20">
        <v>1201</v>
      </c>
      <c r="M17" s="12">
        <v>993</v>
      </c>
    </row>
    <row r="18" spans="1:15" ht="19.5" customHeight="1">
      <c r="B18" t="s">
        <v>16</v>
      </c>
      <c r="C18" s="20">
        <v>3154</v>
      </c>
      <c r="D18" s="20">
        <v>3259</v>
      </c>
      <c r="E18" s="20">
        <v>3190</v>
      </c>
      <c r="F18" s="20">
        <v>3088</v>
      </c>
      <c r="G18" s="20">
        <v>3074</v>
      </c>
      <c r="H18" s="20">
        <v>3189</v>
      </c>
      <c r="I18" s="20">
        <v>3728</v>
      </c>
      <c r="J18" s="20">
        <v>6044</v>
      </c>
      <c r="K18" s="20">
        <v>9672</v>
      </c>
      <c r="L18" s="20">
        <v>13454</v>
      </c>
      <c r="M18" s="12">
        <v>14804</v>
      </c>
    </row>
    <row r="19" spans="1:15" ht="19.5" customHeight="1">
      <c r="A19" s="9" t="s">
        <v>18</v>
      </c>
      <c r="B19" s="8" t="s">
        <v>17</v>
      </c>
      <c r="C19" s="13">
        <f t="shared" ref="C19:L19" si="1">SUM(C12:C18)</f>
        <v>347680</v>
      </c>
      <c r="D19" s="13">
        <f t="shared" si="1"/>
        <v>339257</v>
      </c>
      <c r="E19" s="13">
        <f t="shared" si="1"/>
        <v>339668</v>
      </c>
      <c r="F19" s="13">
        <f t="shared" si="1"/>
        <v>369717</v>
      </c>
      <c r="G19" s="13">
        <f t="shared" si="1"/>
        <v>317059</v>
      </c>
      <c r="H19" s="13">
        <f t="shared" si="1"/>
        <v>302662</v>
      </c>
      <c r="I19" s="13">
        <f t="shared" si="1"/>
        <v>362637</v>
      </c>
      <c r="J19" s="13">
        <f t="shared" si="1"/>
        <v>430203</v>
      </c>
      <c r="K19" s="13">
        <f t="shared" si="1"/>
        <v>434295</v>
      </c>
      <c r="L19" s="13">
        <f t="shared" si="1"/>
        <v>437966</v>
      </c>
      <c r="M19" s="13">
        <f>SUM(M12:M18)</f>
        <v>449039</v>
      </c>
    </row>
    <row r="20" spans="1:15" ht="19.5" customHeight="1">
      <c r="C20" s="18"/>
      <c r="D20" s="18"/>
      <c r="E20" s="18"/>
      <c r="F20" s="18"/>
      <c r="G20" s="18"/>
      <c r="H20" s="18"/>
      <c r="I20" s="18"/>
      <c r="J20" s="18"/>
      <c r="K20" s="18"/>
      <c r="L20" s="18"/>
    </row>
    <row r="21" spans="1:15" ht="19.5" customHeight="1">
      <c r="B21" s="1" t="s">
        <v>57</v>
      </c>
      <c r="C21" s="18"/>
      <c r="D21" s="18"/>
      <c r="E21" s="18"/>
      <c r="F21" s="18"/>
      <c r="G21" s="18"/>
      <c r="H21" s="18"/>
      <c r="I21" s="18"/>
      <c r="J21" s="18"/>
      <c r="K21" s="18"/>
      <c r="L21" s="18"/>
    </row>
    <row r="22" spans="1:15" ht="19.5" customHeight="1">
      <c r="B22" t="s">
        <v>19</v>
      </c>
      <c r="C22" s="19">
        <v>18031</v>
      </c>
      <c r="D22" s="19">
        <v>17128</v>
      </c>
      <c r="E22" s="19">
        <v>18690</v>
      </c>
      <c r="F22" s="19">
        <v>20898</v>
      </c>
      <c r="G22" s="19">
        <v>19115</v>
      </c>
      <c r="H22" s="19">
        <v>18727</v>
      </c>
      <c r="I22" s="19">
        <v>21676</v>
      </c>
      <c r="J22" s="19">
        <v>33499</v>
      </c>
      <c r="K22" s="19">
        <v>32852</v>
      </c>
      <c r="L22" s="19">
        <v>30826</v>
      </c>
      <c r="M22" s="11">
        <v>35960</v>
      </c>
    </row>
    <row r="23" spans="1:15" ht="19.5" customHeight="1">
      <c r="B23" t="s">
        <v>20</v>
      </c>
      <c r="C23" s="20">
        <v>18382</v>
      </c>
      <c r="D23" s="20">
        <v>15200</v>
      </c>
      <c r="E23" s="20">
        <v>15757</v>
      </c>
      <c r="F23" s="20">
        <v>18997</v>
      </c>
      <c r="G23" s="20">
        <v>26240</v>
      </c>
      <c r="H23" s="20">
        <v>18513</v>
      </c>
      <c r="I23" s="20">
        <v>21660</v>
      </c>
      <c r="J23" s="20">
        <v>25658</v>
      </c>
      <c r="K23" s="20">
        <v>27161</v>
      </c>
      <c r="L23" s="20">
        <v>30000</v>
      </c>
      <c r="M23" s="12">
        <v>31272</v>
      </c>
    </row>
    <row r="24" spans="1:15" ht="19.5" customHeight="1">
      <c r="B24" t="s">
        <v>21</v>
      </c>
      <c r="C24" s="20">
        <v>15969</v>
      </c>
      <c r="D24" s="20">
        <v>13357</v>
      </c>
      <c r="E24" s="20">
        <v>20866</v>
      </c>
      <c r="F24" s="20">
        <v>14222</v>
      </c>
      <c r="G24" s="20">
        <v>14823</v>
      </c>
      <c r="H24" s="20">
        <v>15301</v>
      </c>
      <c r="I24" s="20">
        <v>14767</v>
      </c>
      <c r="J24" s="20">
        <v>25662</v>
      </c>
      <c r="K24" s="20">
        <v>11583</v>
      </c>
      <c r="L24" s="20">
        <v>16722</v>
      </c>
      <c r="M24" s="12">
        <v>26055</v>
      </c>
    </row>
    <row r="25" spans="1:15" ht="19.5" customHeight="1">
      <c r="B25" s="37" t="s">
        <v>58</v>
      </c>
      <c r="C25" s="33">
        <v>98000</v>
      </c>
      <c r="D25" s="33">
        <v>0</v>
      </c>
      <c r="E25" s="33">
        <v>0</v>
      </c>
      <c r="F25" s="33">
        <v>20000</v>
      </c>
      <c r="G25" s="33">
        <v>22800</v>
      </c>
      <c r="H25" s="33">
        <v>20405</v>
      </c>
      <c r="I25" s="33">
        <v>0</v>
      </c>
      <c r="J25" s="33">
        <v>0</v>
      </c>
      <c r="K25" s="38">
        <f>39173-800</f>
        <v>38373</v>
      </c>
      <c r="L25" s="33">
        <v>10000</v>
      </c>
      <c r="M25" s="38">
        <f>8659-800</f>
        <v>7859</v>
      </c>
      <c r="N25" s="30" t="s">
        <v>110</v>
      </c>
    </row>
    <row r="26" spans="1:15" ht="19.5" customHeight="1">
      <c r="B26" s="32" t="s">
        <v>22</v>
      </c>
      <c r="C26" s="33">
        <v>0</v>
      </c>
      <c r="D26" s="33">
        <v>0</v>
      </c>
      <c r="E26" s="33">
        <v>0</v>
      </c>
      <c r="F26" s="33">
        <v>0</v>
      </c>
      <c r="G26" s="33">
        <v>800</v>
      </c>
      <c r="H26" s="33">
        <v>800</v>
      </c>
      <c r="I26" s="33">
        <v>800</v>
      </c>
      <c r="J26" s="33">
        <v>800</v>
      </c>
      <c r="K26" s="33">
        <v>800</v>
      </c>
      <c r="L26" s="33">
        <v>800</v>
      </c>
      <c r="M26" s="34">
        <v>800</v>
      </c>
      <c r="N26" s="30" t="s">
        <v>110</v>
      </c>
    </row>
    <row r="27" spans="1:15" ht="19.5" customHeight="1">
      <c r="B27" t="s">
        <v>23</v>
      </c>
      <c r="C27" s="20">
        <v>1529</v>
      </c>
      <c r="D27" s="20">
        <v>2287</v>
      </c>
      <c r="E27" s="20">
        <v>3381</v>
      </c>
      <c r="F27" s="20">
        <v>1306</v>
      </c>
      <c r="G27" s="20">
        <v>2125</v>
      </c>
      <c r="H27" s="20">
        <v>844</v>
      </c>
      <c r="I27" s="20">
        <v>1213</v>
      </c>
      <c r="J27" s="20">
        <v>317</v>
      </c>
      <c r="K27" s="20">
        <v>51</v>
      </c>
      <c r="L27" s="20">
        <v>494</v>
      </c>
      <c r="M27" s="12">
        <v>1554</v>
      </c>
    </row>
    <row r="28" spans="1:15" ht="19.5" customHeight="1">
      <c r="A28" s="9" t="s">
        <v>18</v>
      </c>
      <c r="B28" s="8" t="s">
        <v>24</v>
      </c>
      <c r="C28" s="13">
        <f t="shared" ref="C28:L28" si="2">SUM(C22:C27)</f>
        <v>151911</v>
      </c>
      <c r="D28" s="13">
        <f t="shared" si="2"/>
        <v>47972</v>
      </c>
      <c r="E28" s="13">
        <f t="shared" si="2"/>
        <v>58694</v>
      </c>
      <c r="F28" s="13">
        <f t="shared" si="2"/>
        <v>75423</v>
      </c>
      <c r="G28" s="13">
        <f t="shared" si="2"/>
        <v>85903</v>
      </c>
      <c r="H28" s="13">
        <f t="shared" si="2"/>
        <v>74590</v>
      </c>
      <c r="I28" s="13">
        <f t="shared" si="2"/>
        <v>60116</v>
      </c>
      <c r="J28" s="13">
        <f t="shared" si="2"/>
        <v>85936</v>
      </c>
      <c r="K28" s="13">
        <f t="shared" si="2"/>
        <v>110820</v>
      </c>
      <c r="L28" s="13">
        <f t="shared" si="2"/>
        <v>88842</v>
      </c>
      <c r="M28" s="13">
        <f>SUM(M22:M27)</f>
        <v>103500</v>
      </c>
    </row>
    <row r="29" spans="1:15" ht="19.5" customHeight="1">
      <c r="B29" s="37" t="s">
        <v>59</v>
      </c>
      <c r="C29" s="33">
        <v>0</v>
      </c>
      <c r="D29" s="33">
        <v>108000</v>
      </c>
      <c r="E29" s="33">
        <v>122000</v>
      </c>
      <c r="F29" s="33">
        <v>134000</v>
      </c>
      <c r="G29" s="33">
        <v>44000</v>
      </c>
      <c r="H29" s="33">
        <v>42221</v>
      </c>
      <c r="I29" s="33">
        <v>95898</v>
      </c>
      <c r="J29" s="33">
        <v>46540</v>
      </c>
      <c r="K29" s="38">
        <f>77912-(39173-800)</f>
        <v>39539</v>
      </c>
      <c r="L29" s="38">
        <f>52943-10000</f>
        <v>42943</v>
      </c>
      <c r="M29" s="38">
        <f>27836-7859</f>
        <v>19977</v>
      </c>
      <c r="N29" s="30" t="s">
        <v>110</v>
      </c>
    </row>
    <row r="30" spans="1:15" ht="19.5" customHeight="1">
      <c r="B30" s="32" t="s">
        <v>25</v>
      </c>
      <c r="C30" s="33">
        <v>0</v>
      </c>
      <c r="D30" s="33">
        <v>0</v>
      </c>
      <c r="E30" s="33">
        <v>0</v>
      </c>
      <c r="F30" s="33">
        <v>0</v>
      </c>
      <c r="G30" s="33">
        <v>18800</v>
      </c>
      <c r="H30" s="33">
        <v>18000</v>
      </c>
      <c r="I30" s="33">
        <v>17200</v>
      </c>
      <c r="J30" s="38">
        <f>(17200-800)+26000+26000</f>
        <v>68400</v>
      </c>
      <c r="K30" s="38">
        <f>(16400-800)+26000+26000</f>
        <v>67600</v>
      </c>
      <c r="L30" s="38">
        <f>(15600-800)+26000+26000</f>
        <v>66800</v>
      </c>
      <c r="M30" s="38">
        <f>(14800-800)+26000+26000</f>
        <v>66000</v>
      </c>
      <c r="N30" s="30" t="s">
        <v>110</v>
      </c>
      <c r="O30" s="22"/>
    </row>
    <row r="31" spans="1:15" ht="19.5" customHeight="1">
      <c r="B31" t="s">
        <v>26</v>
      </c>
      <c r="C31" s="20">
        <v>24253</v>
      </c>
      <c r="D31" s="20">
        <v>23145</v>
      </c>
      <c r="E31" s="20">
        <v>16365</v>
      </c>
      <c r="F31" s="20">
        <v>18949</v>
      </c>
      <c r="G31" s="20">
        <v>11050</v>
      </c>
      <c r="H31" s="20">
        <v>11688</v>
      </c>
      <c r="I31" s="20">
        <v>11291</v>
      </c>
      <c r="J31" s="20">
        <v>10401</v>
      </c>
      <c r="K31" s="20">
        <v>10528</v>
      </c>
      <c r="L31" s="20">
        <v>10305</v>
      </c>
      <c r="M31" s="12">
        <v>9066</v>
      </c>
    </row>
    <row r="32" spans="1:15" ht="19.5" customHeight="1">
      <c r="B32" t="s">
        <v>27</v>
      </c>
      <c r="C32" s="20">
        <v>0</v>
      </c>
      <c r="D32" s="20">
        <v>0</v>
      </c>
      <c r="E32" s="20">
        <v>0</v>
      </c>
      <c r="F32" s="20">
        <v>0</v>
      </c>
      <c r="G32" s="20">
        <v>0</v>
      </c>
      <c r="H32" s="20">
        <v>0</v>
      </c>
      <c r="I32" s="20">
        <v>6520</v>
      </c>
      <c r="J32" s="20">
        <v>7062</v>
      </c>
      <c r="K32" s="20">
        <v>5999</v>
      </c>
      <c r="L32" s="20">
        <v>5832</v>
      </c>
      <c r="M32" s="12">
        <v>5904</v>
      </c>
    </row>
    <row r="33" spans="1:13" ht="19.5" customHeight="1">
      <c r="B33" t="s">
        <v>28</v>
      </c>
      <c r="C33" s="20">
        <v>2101</v>
      </c>
      <c r="D33" s="20">
        <v>2282</v>
      </c>
      <c r="E33" s="20">
        <v>2214</v>
      </c>
      <c r="F33" s="20">
        <v>1958</v>
      </c>
      <c r="G33" s="20">
        <v>1817</v>
      </c>
      <c r="H33" s="20">
        <v>10688</v>
      </c>
      <c r="I33" s="20">
        <v>11299</v>
      </c>
      <c r="J33" s="20">
        <v>11482</v>
      </c>
      <c r="K33" s="20">
        <v>11185</v>
      </c>
      <c r="L33" s="20">
        <v>13066</v>
      </c>
      <c r="M33" s="12">
        <v>14066</v>
      </c>
    </row>
    <row r="34" spans="1:13" ht="19.5" customHeight="1">
      <c r="A34" s="9" t="s">
        <v>18</v>
      </c>
      <c r="B34" s="8" t="s">
        <v>29</v>
      </c>
      <c r="C34" s="13">
        <f t="shared" ref="C34:L34" si="3">SUM(C28:C33)</f>
        <v>178265</v>
      </c>
      <c r="D34" s="13">
        <f t="shared" si="3"/>
        <v>181399</v>
      </c>
      <c r="E34" s="13">
        <f t="shared" si="3"/>
        <v>199273</v>
      </c>
      <c r="F34" s="13">
        <f t="shared" si="3"/>
        <v>230330</v>
      </c>
      <c r="G34" s="13">
        <f t="shared" si="3"/>
        <v>161570</v>
      </c>
      <c r="H34" s="13">
        <f t="shared" si="3"/>
        <v>157187</v>
      </c>
      <c r="I34" s="13">
        <f t="shared" si="3"/>
        <v>202324</v>
      </c>
      <c r="J34" s="13">
        <f t="shared" si="3"/>
        <v>229821</v>
      </c>
      <c r="K34" s="13">
        <f t="shared" si="3"/>
        <v>245671</v>
      </c>
      <c r="L34" s="13">
        <f t="shared" si="3"/>
        <v>227788</v>
      </c>
      <c r="M34" s="13">
        <f>SUM(M28:M33)</f>
        <v>218513</v>
      </c>
    </row>
    <row r="35" spans="1:13" ht="19.5" customHeight="1">
      <c r="C35" s="18"/>
      <c r="D35" s="18"/>
      <c r="E35" s="18"/>
      <c r="F35" s="18"/>
      <c r="G35" s="18"/>
      <c r="H35" s="18"/>
      <c r="I35" s="18"/>
      <c r="J35" s="18"/>
      <c r="K35" s="18"/>
      <c r="L35" s="18"/>
    </row>
    <row r="36" spans="1:13" ht="19.5" customHeight="1">
      <c r="B36" s="1" t="s">
        <v>60</v>
      </c>
      <c r="C36" s="18"/>
      <c r="D36" s="18"/>
      <c r="E36" s="18"/>
      <c r="F36" s="18"/>
      <c r="G36" s="18"/>
      <c r="H36" s="18"/>
      <c r="I36" s="18"/>
      <c r="J36" s="18"/>
      <c r="K36" s="18"/>
      <c r="L36" s="18"/>
    </row>
    <row r="37" spans="1:13" ht="19.5" customHeight="1">
      <c r="B37" t="s">
        <v>30</v>
      </c>
      <c r="C37" s="19">
        <v>19</v>
      </c>
      <c r="D37" s="19">
        <v>20</v>
      </c>
      <c r="E37" s="19">
        <v>20</v>
      </c>
      <c r="F37" s="19">
        <v>20</v>
      </c>
      <c r="G37" s="19">
        <v>20</v>
      </c>
      <c r="H37" s="19">
        <v>20</v>
      </c>
      <c r="I37" s="19">
        <v>20</v>
      </c>
      <c r="J37" s="19">
        <v>20</v>
      </c>
      <c r="K37" s="19">
        <v>20</v>
      </c>
      <c r="L37" s="19">
        <v>20</v>
      </c>
      <c r="M37" s="11">
        <v>20</v>
      </c>
    </row>
    <row r="38" spans="1:13" ht="19.5" customHeight="1">
      <c r="B38" t="s">
        <v>31</v>
      </c>
      <c r="C38" s="20">
        <v>136212</v>
      </c>
      <c r="D38" s="20">
        <v>141651</v>
      </c>
      <c r="E38" s="20">
        <v>145936</v>
      </c>
      <c r="F38" s="20">
        <v>150692</v>
      </c>
      <c r="G38" s="20">
        <v>153469</v>
      </c>
      <c r="H38" s="20">
        <v>155132</v>
      </c>
      <c r="I38" s="20">
        <v>157850</v>
      </c>
      <c r="J38" s="20">
        <v>163737</v>
      </c>
      <c r="K38" s="20">
        <v>165973</v>
      </c>
      <c r="L38" s="20">
        <v>171546</v>
      </c>
      <c r="M38" s="12">
        <v>175642</v>
      </c>
    </row>
    <row r="39" spans="1:13" ht="19.5" customHeight="1">
      <c r="B39" t="s">
        <v>32</v>
      </c>
      <c r="C39" s="20">
        <v>237596</v>
      </c>
      <c r="D39" s="20">
        <v>260683</v>
      </c>
      <c r="E39" s="20">
        <v>289642</v>
      </c>
      <c r="F39" s="20">
        <v>315764</v>
      </c>
      <c r="G39" s="20">
        <v>351266</v>
      </c>
      <c r="H39" s="20">
        <v>374060</v>
      </c>
      <c r="I39" s="20">
        <v>398731</v>
      </c>
      <c r="J39" s="20">
        <v>430735</v>
      </c>
      <c r="K39" s="20">
        <v>456076</v>
      </c>
      <c r="L39" s="20">
        <v>477488</v>
      </c>
      <c r="M39" s="12">
        <v>499931</v>
      </c>
    </row>
    <row r="40" spans="1:13" ht="19.5" customHeight="1">
      <c r="B40" t="s">
        <v>33</v>
      </c>
      <c r="C40" s="20">
        <v>1103</v>
      </c>
      <c r="D40" s="20">
        <v>-8722</v>
      </c>
      <c r="E40" s="20">
        <v>-27298</v>
      </c>
      <c r="F40" s="20">
        <v>-28075</v>
      </c>
      <c r="G40" s="20">
        <v>-27636</v>
      </c>
      <c r="H40" s="20">
        <v>-32482</v>
      </c>
      <c r="I40" s="20">
        <v>-28208</v>
      </c>
      <c r="J40" s="20">
        <v>-26030</v>
      </c>
      <c r="K40" s="20">
        <v>-36209</v>
      </c>
      <c r="L40" s="20">
        <v>-31206</v>
      </c>
      <c r="M40" s="12">
        <v>-29268</v>
      </c>
    </row>
    <row r="41" spans="1:13" ht="19.5" customHeight="1">
      <c r="B41" t="s">
        <v>36</v>
      </c>
      <c r="C41" s="20">
        <v>-205515</v>
      </c>
      <c r="D41" s="20">
        <v>-235774</v>
      </c>
      <c r="E41" s="20">
        <v>-267905</v>
      </c>
      <c r="F41" s="20">
        <v>-299014</v>
      </c>
      <c r="G41" s="20">
        <v>-321630</v>
      </c>
      <c r="H41" s="20">
        <v>-351255</v>
      </c>
      <c r="I41" s="20">
        <v>-368080</v>
      </c>
      <c r="J41" s="20">
        <v>-368080</v>
      </c>
      <c r="K41" s="20">
        <v>-397236</v>
      </c>
      <c r="L41" s="20">
        <v>-407670</v>
      </c>
      <c r="M41" s="12">
        <v>-415799</v>
      </c>
    </row>
    <row r="42" spans="1:13" ht="19.5" customHeight="1">
      <c r="A42" s="9" t="s">
        <v>18</v>
      </c>
      <c r="B42" s="8" t="s">
        <v>34</v>
      </c>
      <c r="C42" s="13">
        <f t="shared" ref="C42:J42" si="4">SUM(C37:C41)</f>
        <v>169415</v>
      </c>
      <c r="D42" s="13">
        <f t="shared" si="4"/>
        <v>157858</v>
      </c>
      <c r="E42" s="13">
        <f t="shared" si="4"/>
        <v>140395</v>
      </c>
      <c r="F42" s="13">
        <f t="shared" si="4"/>
        <v>139387</v>
      </c>
      <c r="G42" s="13">
        <f t="shared" si="4"/>
        <v>155489</v>
      </c>
      <c r="H42" s="13">
        <f t="shared" si="4"/>
        <v>145475</v>
      </c>
      <c r="I42" s="13">
        <f t="shared" si="4"/>
        <v>160313</v>
      </c>
      <c r="J42" s="13">
        <f t="shared" si="4"/>
        <v>200382</v>
      </c>
      <c r="K42" s="13">
        <f>SUM(K37:K41)</f>
        <v>188624</v>
      </c>
      <c r="L42" s="13">
        <f>SUM(L37:L41)</f>
        <v>210178</v>
      </c>
      <c r="M42" s="13">
        <f>SUM(M37:M41)</f>
        <v>230526</v>
      </c>
    </row>
    <row r="43" spans="1:13" ht="19.5" customHeight="1" thickBot="1">
      <c r="C43" s="18"/>
      <c r="D43" s="18"/>
      <c r="E43" s="18"/>
      <c r="F43" s="18"/>
      <c r="G43" s="18"/>
      <c r="H43" s="18"/>
      <c r="I43" s="18"/>
      <c r="J43" s="18"/>
      <c r="K43" s="18"/>
      <c r="L43" s="18"/>
    </row>
    <row r="44" spans="1:13" ht="19.5" customHeight="1" thickTop="1">
      <c r="A44" s="9" t="s">
        <v>18</v>
      </c>
      <c r="B44" s="1" t="s">
        <v>35</v>
      </c>
      <c r="C44" s="14">
        <f t="shared" ref="C44:L44" si="5">C34+C42</f>
        <v>347680</v>
      </c>
      <c r="D44" s="14">
        <f t="shared" si="5"/>
        <v>339257</v>
      </c>
      <c r="E44" s="14">
        <f t="shared" si="5"/>
        <v>339668</v>
      </c>
      <c r="F44" s="14">
        <f t="shared" si="5"/>
        <v>369717</v>
      </c>
      <c r="G44" s="14">
        <f t="shared" si="5"/>
        <v>317059</v>
      </c>
      <c r="H44" s="14">
        <f t="shared" si="5"/>
        <v>302662</v>
      </c>
      <c r="I44" s="14">
        <f t="shared" si="5"/>
        <v>362637</v>
      </c>
      <c r="J44" s="14">
        <f t="shared" si="5"/>
        <v>430203</v>
      </c>
      <c r="K44" s="14">
        <f t="shared" si="5"/>
        <v>434295</v>
      </c>
      <c r="L44" s="14">
        <f t="shared" si="5"/>
        <v>437966</v>
      </c>
      <c r="M44" s="14">
        <f>M34+M42</f>
        <v>449039</v>
      </c>
    </row>
    <row r="45" spans="1:13" ht="19.5" customHeight="1">
      <c r="B45" s="10" t="s">
        <v>37</v>
      </c>
      <c r="C45" s="15">
        <f t="shared" ref="C45:L45" si="6">C19-C44</f>
        <v>0</v>
      </c>
      <c r="D45" s="15">
        <f t="shared" si="6"/>
        <v>0</v>
      </c>
      <c r="E45" s="15">
        <f t="shared" si="6"/>
        <v>0</v>
      </c>
      <c r="F45" s="15">
        <f t="shared" si="6"/>
        <v>0</v>
      </c>
      <c r="G45" s="15">
        <f t="shared" si="6"/>
        <v>0</v>
      </c>
      <c r="H45" s="15">
        <f t="shared" si="6"/>
        <v>0</v>
      </c>
      <c r="I45" s="15">
        <f t="shared" si="6"/>
        <v>0</v>
      </c>
      <c r="J45" s="15">
        <f t="shared" si="6"/>
        <v>0</v>
      </c>
      <c r="K45" s="15">
        <f t="shared" si="6"/>
        <v>0</v>
      </c>
      <c r="L45" s="15">
        <f t="shared" si="6"/>
        <v>0</v>
      </c>
      <c r="M45" s="15">
        <f>M19-M44</f>
        <v>0</v>
      </c>
    </row>
  </sheetData>
  <pageMargins left="0.7" right="0.7" top="0.75" bottom="0.75" header="0.3" footer="0.3"/>
  <pageSetup scale="43"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E680-ED49-4C0A-B110-043F5F8668AD}">
  <dimension ref="A1:X70"/>
  <sheetViews>
    <sheetView zoomScaleNormal="100" workbookViewId="0">
      <pane xSplit="1" ySplit="3" topLeftCell="K4" activePane="bottomRight" state="frozen"/>
      <selection activeCell="C38" sqref="C38"/>
      <selection pane="topRight" activeCell="C38" sqref="C38"/>
      <selection pane="bottomLeft" activeCell="C38" sqref="C38"/>
      <selection pane="bottomRight" activeCell="K4" sqref="K4"/>
    </sheetView>
  </sheetViews>
  <sheetFormatPr baseColWidth="10" defaultColWidth="8.625" defaultRowHeight="14" outlineLevelCol="1"/>
  <cols>
    <col min="1" max="1" width="45.875" bestFit="1" customWidth="1"/>
    <col min="2" max="2" width="10.875" hidden="1" customWidth="1" outlineLevel="1"/>
    <col min="3" max="5" width="9.25" hidden="1" customWidth="1" outlineLevel="1"/>
    <col min="6" max="6" width="8.875" hidden="1" customWidth="1" outlineLevel="1"/>
    <col min="7" max="7" width="9.25" hidden="1" customWidth="1" outlineLevel="1"/>
    <col min="8" max="8" width="9.125" hidden="1" customWidth="1" outlineLevel="1"/>
    <col min="9" max="9" width="9.25" hidden="1" customWidth="1" outlineLevel="1"/>
    <col min="10" max="10" width="8.875" hidden="1" customWidth="1" outlineLevel="1"/>
    <col min="11" max="11" width="9.125" bestFit="1" customWidth="1" collapsed="1"/>
    <col min="12" max="12" width="3.75" customWidth="1"/>
    <col min="13" max="13" width="8.25" bestFit="1" customWidth="1"/>
    <col min="14" max="15" width="8.375" customWidth="1"/>
    <col min="16" max="16" width="3.75" customWidth="1"/>
    <col min="17" max="17" width="9.125" bestFit="1" customWidth="1"/>
    <col min="18" max="18" width="3.75" customWidth="1"/>
    <col min="19" max="19" width="11" hidden="1" customWidth="1" outlineLevel="1"/>
    <col min="20" max="20" width="11.75" customWidth="1" collapsed="1"/>
    <col min="21" max="24" width="11.75" customWidth="1"/>
  </cols>
  <sheetData>
    <row r="1" spans="1:24" ht="31" thickBot="1">
      <c r="A1" s="4" t="s">
        <v>61</v>
      </c>
      <c r="B1" s="28"/>
      <c r="C1" s="28"/>
      <c r="D1" s="28"/>
      <c r="E1" s="28"/>
      <c r="F1" s="28"/>
      <c r="G1" s="28"/>
      <c r="H1" s="28"/>
      <c r="I1" s="28"/>
      <c r="J1" s="28"/>
      <c r="K1" s="5"/>
      <c r="L1" s="5"/>
      <c r="M1" s="5"/>
      <c r="N1" s="5"/>
      <c r="O1" s="5"/>
      <c r="P1" s="5"/>
      <c r="Q1" s="5"/>
      <c r="R1" s="5"/>
      <c r="S1" s="5"/>
      <c r="T1" s="5"/>
      <c r="U1" s="5"/>
      <c r="V1" s="5"/>
      <c r="W1" s="5"/>
      <c r="X1" s="5"/>
    </row>
    <row r="2" spans="1:24" ht="25.25" customHeight="1" thickBot="1">
      <c r="K2" s="6"/>
      <c r="T2" s="54" t="s">
        <v>173</v>
      </c>
      <c r="U2" s="55"/>
      <c r="V2" s="55"/>
      <c r="W2" s="55"/>
      <c r="X2" s="56"/>
    </row>
    <row r="3" spans="1:24" ht="25.25" customHeight="1">
      <c r="B3" s="7">
        <v>42247</v>
      </c>
      <c r="C3" s="7">
        <v>42613</v>
      </c>
      <c r="D3" s="7">
        <v>42978</v>
      </c>
      <c r="E3" s="7">
        <v>43343</v>
      </c>
      <c r="F3" s="7">
        <v>43708</v>
      </c>
      <c r="G3" s="7">
        <v>44074</v>
      </c>
      <c r="H3" s="7">
        <v>44439</v>
      </c>
      <c r="I3" s="7">
        <v>44804</v>
      </c>
      <c r="J3" s="7">
        <v>45169</v>
      </c>
      <c r="K3" s="7">
        <v>45535</v>
      </c>
      <c r="M3" s="26" t="s">
        <v>75</v>
      </c>
      <c r="N3" s="26" t="s">
        <v>76</v>
      </c>
      <c r="O3" s="26" t="s">
        <v>77</v>
      </c>
      <c r="Q3" s="26" t="s">
        <v>78</v>
      </c>
      <c r="S3" s="26" t="s">
        <v>79</v>
      </c>
      <c r="T3" s="58">
        <v>45900</v>
      </c>
      <c r="U3" s="58">
        <v>46265</v>
      </c>
      <c r="V3" s="58">
        <v>46630</v>
      </c>
      <c r="W3" s="58">
        <v>46996</v>
      </c>
      <c r="X3" s="58">
        <v>47361</v>
      </c>
    </row>
    <row r="4" spans="1:24" ht="25.25" customHeight="1">
      <c r="A4" s="23" t="s">
        <v>62</v>
      </c>
      <c r="B4" s="23"/>
      <c r="C4" s="23"/>
      <c r="D4" s="23"/>
      <c r="E4" s="23"/>
      <c r="F4" s="23"/>
      <c r="G4" s="23"/>
      <c r="H4" s="23"/>
      <c r="I4" s="23"/>
      <c r="J4" s="23"/>
    </row>
    <row r="5" spans="1:24" ht="25.25" customHeight="1">
      <c r="A5" s="30" t="s">
        <v>66</v>
      </c>
      <c r="B5" s="24">
        <f>'Income Statement'!D6/'Income Statement'!C6-1</f>
        <v>-1.2655451609281498E-2</v>
      </c>
      <c r="C5" s="24">
        <f>'Income Statement'!E6/'Income Statement'!D6-1</f>
        <v>6.664022213407339E-3</v>
      </c>
      <c r="D5" s="24">
        <f>'Income Statement'!F6/'Income Statement'!E6-1</f>
        <v>-4.3081934483935047E-4</v>
      </c>
      <c r="E5" s="24">
        <f>'Income Statement'!G6/'Income Statement'!F6-1</f>
        <v>7.3617761612169152E-2</v>
      </c>
      <c r="F5" s="24">
        <f>'Income Statement'!H6/'Income Statement'!G6-1</f>
        <v>3.630684572038434E-2</v>
      </c>
      <c r="G5" s="24">
        <f>'Income Statement'!I6/'Income Statement'!H6-1</f>
        <v>-3.5082083382544038E-2</v>
      </c>
      <c r="H5" s="24">
        <f>'Income Statement'!J6/'Income Statement'!I6-1</f>
        <v>0.19488712307036993</v>
      </c>
      <c r="I5" s="24">
        <f>'Income Statement'!K6/'Income Statement'!J6-1</f>
        <v>6.2918323571169665E-2</v>
      </c>
      <c r="J5" s="24">
        <f>'Income Statement'!L6/'Income Statement'!K6-1</f>
        <v>3.5532554643228798E-2</v>
      </c>
      <c r="K5" s="29">
        <f>'Income Statement'!M6/'Income Statement'!L6-1</f>
        <v>9.9211733720486528E-2</v>
      </c>
      <c r="M5" s="29">
        <f>AVERAGE(B5:K5)</f>
        <v>4.6097001021455086E-2</v>
      </c>
      <c r="N5" s="29">
        <f>AVERAGE(G5:K5)</f>
        <v>7.149353032454217E-2</v>
      </c>
      <c r="O5" s="29">
        <f>AVERAGE(I5:K5)</f>
        <v>6.588753731162833E-2</v>
      </c>
      <c r="P5" s="30"/>
      <c r="Q5" s="62">
        <v>7.0000000000000007E-2</v>
      </c>
      <c r="S5" s="31" t="s">
        <v>80</v>
      </c>
      <c r="T5" s="61">
        <f>Q5</f>
        <v>7.0000000000000007E-2</v>
      </c>
      <c r="U5" s="61">
        <f>T5</f>
        <v>7.0000000000000007E-2</v>
      </c>
      <c r="V5" s="61">
        <f t="shared" ref="V5:X5" si="0">U5</f>
        <v>7.0000000000000007E-2</v>
      </c>
      <c r="W5" s="61">
        <f t="shared" si="0"/>
        <v>7.0000000000000007E-2</v>
      </c>
      <c r="X5" s="61">
        <f t="shared" si="0"/>
        <v>7.0000000000000007E-2</v>
      </c>
    </row>
    <row r="6" spans="1:24" ht="25.25" customHeight="1">
      <c r="A6" s="30" t="s">
        <v>151</v>
      </c>
      <c r="B6" s="24">
        <f>'Income Statement'!D7/'Income Statement'!D6</f>
        <v>0.46501909415424197</v>
      </c>
      <c r="C6" s="24">
        <f>'Income Statement'!E7/'Income Statement'!E6</f>
        <v>0.43149826921789736</v>
      </c>
      <c r="D6" s="24">
        <f>'Income Statement'!F7/'Income Statement'!F6</f>
        <v>0.43183519028085288</v>
      </c>
      <c r="E6" s="24">
        <f>'Income Statement'!G7/'Income Statement'!G6</f>
        <v>0.44144490376134771</v>
      </c>
      <c r="F6" s="24">
        <f>'Income Statement'!H7/'Income Statement'!H6</f>
        <v>0.44418613982502358</v>
      </c>
      <c r="G6" s="24">
        <f>'Income Statement'!I7/'Income Statement'!I6</f>
        <v>0.44594848814620314</v>
      </c>
      <c r="H6" s="24">
        <f>'Income Statement'!J7/'Income Statement'!J6</f>
        <v>0.45274942845728</v>
      </c>
      <c r="I6" s="24">
        <f>'Income Statement'!K7/'Income Statement'!K6</f>
        <v>0.50028326717280469</v>
      </c>
      <c r="J6" s="24">
        <f>'Income Statement'!L7/'Income Statement'!L6</f>
        <v>0.48121508260998075</v>
      </c>
      <c r="K6" s="29">
        <f>'Income Statement'!M7/'Income Statement'!M6</f>
        <v>0.45774300361933778</v>
      </c>
      <c r="M6" s="29">
        <f t="shared" ref="M6:M16" si="1">AVERAGE(B6:K6)</f>
        <v>0.45519228672449696</v>
      </c>
      <c r="N6" s="29">
        <f t="shared" ref="N6:N16" si="2">AVERAGE(G6:K6)</f>
        <v>0.46758785400112135</v>
      </c>
      <c r="O6" s="29">
        <f t="shared" ref="O6:O16" si="3">AVERAGE(I6:K6)</f>
        <v>0.47974711780070772</v>
      </c>
      <c r="P6" s="30"/>
      <c r="Q6" s="62">
        <v>0.46500000000000002</v>
      </c>
      <c r="S6" s="44" t="s">
        <v>83</v>
      </c>
      <c r="T6" s="61">
        <f t="shared" ref="T6:T11" si="4">Q6</f>
        <v>0.46500000000000002</v>
      </c>
      <c r="U6" s="61">
        <f t="shared" ref="U6:X6" si="5">T6</f>
        <v>0.46500000000000002</v>
      </c>
      <c r="V6" s="61">
        <f t="shared" si="5"/>
        <v>0.46500000000000002</v>
      </c>
      <c r="W6" s="61">
        <f t="shared" si="5"/>
        <v>0.46500000000000002</v>
      </c>
      <c r="X6" s="61">
        <f t="shared" si="5"/>
        <v>0.46500000000000002</v>
      </c>
    </row>
    <row r="7" spans="1:24" ht="25.25" customHeight="1">
      <c r="A7" s="30" t="s">
        <v>152</v>
      </c>
      <c r="B7" s="24">
        <f>'Income Statement'!D9/'Income Statement'!D6</f>
        <v>0.28447184859334496</v>
      </c>
      <c r="C7" s="24">
        <f>'Income Statement'!E9/'Income Statement'!E6</f>
        <v>0.30556795612163556</v>
      </c>
      <c r="D7" s="24">
        <f>'Income Statement'!F9/'Income Statement'!F6</f>
        <v>0.29690758907085246</v>
      </c>
      <c r="E7" s="24">
        <f>'Income Statement'!G9/'Income Statement'!G6</f>
        <v>0.29242728791686473</v>
      </c>
      <c r="F7" s="24">
        <f>'Income Statement'!H9/'Income Statement'!H6</f>
        <v>0.28823148152846645</v>
      </c>
      <c r="G7" s="24">
        <f>'Income Statement'!I9/'Income Statement'!I6</f>
        <v>0.29327422530649427</v>
      </c>
      <c r="H7" s="24">
        <f>'Income Statement'!J9/'Income Statement'!J6</f>
        <v>0.29358591877049084</v>
      </c>
      <c r="I7" s="24">
        <f>'Income Statement'!K9/'Income Statement'!K6</f>
        <v>0.26270389600517607</v>
      </c>
      <c r="J7" s="24">
        <f>'Income Statement'!L9/'Income Statement'!L6</f>
        <v>0.28298999691463977</v>
      </c>
      <c r="K7" s="29">
        <f>'Income Statement'!M9/'Income Statement'!M6</f>
        <v>0.30567018088275094</v>
      </c>
      <c r="M7" s="29">
        <f t="shared" si="1"/>
        <v>0.29058303811107161</v>
      </c>
      <c r="N7" s="29">
        <f t="shared" si="2"/>
        <v>0.28764484357591036</v>
      </c>
      <c r="O7" s="29">
        <f t="shared" si="3"/>
        <v>0.28378802460085556</v>
      </c>
      <c r="P7" s="30"/>
      <c r="Q7" s="62">
        <v>0.28499999999999998</v>
      </c>
      <c r="S7" s="44" t="s">
        <v>85</v>
      </c>
      <c r="T7" s="61">
        <f t="shared" si="4"/>
        <v>0.28499999999999998</v>
      </c>
      <c r="U7" s="61">
        <f t="shared" ref="U7:X7" si="6">T7</f>
        <v>0.28499999999999998</v>
      </c>
      <c r="V7" s="61">
        <f t="shared" si="6"/>
        <v>0.28499999999999998</v>
      </c>
      <c r="W7" s="61">
        <f t="shared" si="6"/>
        <v>0.28499999999999998</v>
      </c>
      <c r="X7" s="61">
        <f t="shared" si="6"/>
        <v>0.28499999999999998</v>
      </c>
    </row>
    <row r="8" spans="1:24" ht="25.25" customHeight="1">
      <c r="A8" s="30" t="s">
        <v>67</v>
      </c>
      <c r="B8" s="24">
        <f>'Income Statement'!D10/'Income Statement'!D6</f>
        <v>6.0494512759486974E-2</v>
      </c>
      <c r="C8" s="24">
        <f>'Income Statement'!E10/'Income Statement'!E6</f>
        <v>5.8523130270312869E-2</v>
      </c>
      <c r="D8" s="24">
        <f>'Income Statement'!F10/'Income Statement'!F6</f>
        <v>5.3972867707736544E-2</v>
      </c>
      <c r="E8" s="24">
        <f>'Income Statement'!G10/'Income Statement'!G6</f>
        <v>5.4621828169138201E-2</v>
      </c>
      <c r="F8" s="24">
        <f>'Income Statement'!H10/'Income Statement'!H6</f>
        <v>5.5051375930081491E-2</v>
      </c>
      <c r="G8" s="24">
        <f>'Income Statement'!I10/'Income Statement'!I6</f>
        <v>5.2891323825330849E-2</v>
      </c>
      <c r="H8" s="24">
        <f>'Income Statement'!J10/'Income Statement'!J6</f>
        <v>5.7274092467051417E-2</v>
      </c>
      <c r="I8" s="24">
        <f>'Income Statement'!K10/'Income Statement'!K6</f>
        <v>5.2702285956593806E-2</v>
      </c>
      <c r="J8" s="24">
        <f>'Income Statement'!L10/'Income Statement'!L6</f>
        <v>5.3618858828675398E-2</v>
      </c>
      <c r="K8" s="29">
        <f>'Income Statement'!M10/'Income Statement'!M6</f>
        <v>5.7422060867960249E-2</v>
      </c>
      <c r="M8" s="29">
        <f t="shared" si="1"/>
        <v>5.5657233678236773E-2</v>
      </c>
      <c r="N8" s="29">
        <f t="shared" si="2"/>
        <v>5.4781724389122342E-2</v>
      </c>
      <c r="O8" s="29">
        <f t="shared" si="3"/>
        <v>5.458106855107648E-2</v>
      </c>
      <c r="P8" s="30"/>
      <c r="Q8" s="62">
        <v>0.06</v>
      </c>
      <c r="S8" s="44" t="s">
        <v>86</v>
      </c>
      <c r="T8" s="61">
        <f t="shared" si="4"/>
        <v>0.06</v>
      </c>
      <c r="U8" s="61">
        <f t="shared" ref="U8:X8" si="7">T8</f>
        <v>0.06</v>
      </c>
      <c r="V8" s="61">
        <f t="shared" si="7"/>
        <v>0.06</v>
      </c>
      <c r="W8" s="61">
        <f t="shared" si="7"/>
        <v>0.06</v>
      </c>
      <c r="X8" s="61">
        <f t="shared" si="7"/>
        <v>0.06</v>
      </c>
    </row>
    <row r="9" spans="1:24" ht="25.25" customHeight="1">
      <c r="A9" s="30" t="s">
        <v>68</v>
      </c>
      <c r="B9" s="24">
        <f>'Income Statement'!D13/'Income Statement'!D6</f>
        <v>8.0364934549781841E-3</v>
      </c>
      <c r="C9" s="24">
        <f>'Income Statement'!E13/'Income Statement'!E6</f>
        <v>7.8177949404996446E-3</v>
      </c>
      <c r="D9" s="24">
        <f>'Income Statement'!F13/'Income Statement'!F6</f>
        <v>7.5662407425901301E-3</v>
      </c>
      <c r="E9" s="24">
        <f>'Income Statement'!G13/'Income Statement'!G6</f>
        <v>7.2236719067458469E-3</v>
      </c>
      <c r="F9" s="24">
        <f>'Income Statement'!H13/'Income Statement'!H6</f>
        <v>6.3918743356560764E-3</v>
      </c>
      <c r="G9" s="24">
        <f>'Income Statement'!I13/'Income Statement'!I6</f>
        <v>5.4125111995652368E-3</v>
      </c>
      <c r="H9" s="24">
        <f>'Income Statement'!J13/'Income Statement'!J6</f>
        <v>2.9685992268120441E-3</v>
      </c>
      <c r="I9" s="24">
        <f>'Income Statement'!K13/'Income Statement'!K6</f>
        <v>2.7639643807100727E-3</v>
      </c>
      <c r="J9" s="24">
        <f>'Income Statement'!L13/'Income Statement'!L6</f>
        <v>1.8706200966021721E-3</v>
      </c>
      <c r="K9" s="29">
        <f>'Income Statement'!M13/'Income Statement'!M6</f>
        <v>1.872808213263072E-3</v>
      </c>
      <c r="M9" s="29">
        <f t="shared" si="1"/>
        <v>5.1924578497422481E-3</v>
      </c>
      <c r="N9" s="29">
        <f t="shared" si="2"/>
        <v>2.9777006233905196E-3</v>
      </c>
      <c r="O9" s="29">
        <f t="shared" si="3"/>
        <v>2.1691308968584391E-3</v>
      </c>
      <c r="P9" s="30"/>
      <c r="Q9" s="62">
        <v>2E-3</v>
      </c>
      <c r="S9" s="44" t="s">
        <v>87</v>
      </c>
      <c r="T9" s="61">
        <f t="shared" si="4"/>
        <v>2E-3</v>
      </c>
      <c r="U9" s="61">
        <f t="shared" ref="U9:X9" si="8">T9</f>
        <v>2E-3</v>
      </c>
      <c r="V9" s="61">
        <f t="shared" si="8"/>
        <v>2E-3</v>
      </c>
      <c r="W9" s="61">
        <f t="shared" si="8"/>
        <v>2E-3</v>
      </c>
      <c r="X9" s="61">
        <f t="shared" si="8"/>
        <v>2E-3</v>
      </c>
    </row>
    <row r="10" spans="1:24" ht="25.25" customHeight="1">
      <c r="A10" s="30" t="s">
        <v>69</v>
      </c>
      <c r="B10" s="24">
        <f>'Income Statement'!D17/'Income Statement'!D6</f>
        <v>-4.3871479571598575E-3</v>
      </c>
      <c r="C10" s="24">
        <f>'Income Statement'!E17/'Income Statement'!E6</f>
        <v>6.464917119815063E-3</v>
      </c>
      <c r="D10" s="24">
        <f>'Income Statement'!F17/'Income Statement'!F6</f>
        <v>2.0682985288011228E-3</v>
      </c>
      <c r="E10" s="24">
        <f>'Income Statement'!G17/'Income Statement'!G6</f>
        <v>8.298287957935758E-4</v>
      </c>
      <c r="F10" s="24">
        <f>'Income Statement'!H17/'Income Statement'!H6</f>
        <v>1.8282744773827802E-3</v>
      </c>
      <c r="G10" s="24">
        <f>'Income Statement'!I17/'Income Statement'!I6</f>
        <v>1.5691631293176466E-3</v>
      </c>
      <c r="H10" s="24">
        <f>'Income Statement'!J17/'Income Statement'!J6</f>
        <v>-5.7364236266899405E-5</v>
      </c>
      <c r="I10" s="24">
        <f>'Income Statement'!K17/'Income Statement'!K6</f>
        <v>-1.1217763386145484E-3</v>
      </c>
      <c r="J10" s="24">
        <f>'Income Statement'!L17/'Income Statement'!L6</f>
        <v>1.5299997208029707E-3</v>
      </c>
      <c r="K10" s="29">
        <f>'Income Statement'!M17/'Income Statement'!M6</f>
        <v>-1.7441161479755552E-3</v>
      </c>
      <c r="M10" s="29">
        <f t="shared" si="1"/>
        <v>6.9800770918962982E-4</v>
      </c>
      <c r="N10" s="29">
        <f t="shared" si="2"/>
        <v>3.5181225452722871E-5</v>
      </c>
      <c r="O10" s="29">
        <f t="shared" si="3"/>
        <v>-4.4529758859571095E-4</v>
      </c>
      <c r="P10" s="30"/>
      <c r="Q10" s="62">
        <v>0</v>
      </c>
      <c r="S10" s="44" t="s">
        <v>81</v>
      </c>
      <c r="T10" s="61">
        <f t="shared" si="4"/>
        <v>0</v>
      </c>
      <c r="U10" s="61">
        <f t="shared" ref="U10:X10" si="9">T10</f>
        <v>0</v>
      </c>
      <c r="V10" s="61">
        <f t="shared" si="9"/>
        <v>0</v>
      </c>
      <c r="W10" s="61">
        <f t="shared" si="9"/>
        <v>0</v>
      </c>
      <c r="X10" s="61">
        <f t="shared" si="9"/>
        <v>0</v>
      </c>
    </row>
    <row r="11" spans="1:24" ht="25.25" customHeight="1">
      <c r="A11" s="30" t="s">
        <v>70</v>
      </c>
      <c r="B11" s="24">
        <f>'Income Statement'!D19/'Income Statement'!D18</f>
        <v>0.29001742988432888</v>
      </c>
      <c r="C11" s="24">
        <f>'Income Statement'!E19/'Income Statement'!E18</f>
        <v>0.27697866435862561</v>
      </c>
      <c r="D11" s="24">
        <f>'Income Statement'!F19/'Income Statement'!F18</f>
        <v>0.29069175310230227</v>
      </c>
      <c r="E11" s="24">
        <f>'Income Statement'!G19/'Income Statement'!G18</f>
        <v>0.13252547287770353</v>
      </c>
      <c r="F11" s="24">
        <f>'Income Statement'!H19/'Income Statement'!H18</f>
        <v>0.30781230654946157</v>
      </c>
      <c r="G11" s="24">
        <f>'Income Statement'!I19/'Income Statement'!I18</f>
        <v>0.19605376415281725</v>
      </c>
      <c r="H11" s="24">
        <f>'Income Statement'!J19/'Income Statement'!J18</f>
        <v>0.18809466005387351</v>
      </c>
      <c r="I11" s="24">
        <f>'Income Statement'!K19/'Income Statement'!K18</f>
        <v>0.19949350834641175</v>
      </c>
      <c r="J11" s="24">
        <f>'Income Statement'!L19/'Income Statement'!L18</f>
        <v>0.22509775371933829</v>
      </c>
      <c r="K11" s="29">
        <f>'Income Statement'!M19/'Income Statement'!M18</f>
        <v>0.23892992962363946</v>
      </c>
      <c r="M11" s="29">
        <f t="shared" si="1"/>
        <v>0.23456952426685024</v>
      </c>
      <c r="N11" s="29">
        <f t="shared" si="2"/>
        <v>0.20953392317921607</v>
      </c>
      <c r="O11" s="29">
        <f t="shared" si="3"/>
        <v>0.22117373056312983</v>
      </c>
      <c r="P11" s="30"/>
      <c r="Q11" s="62">
        <v>0.23</v>
      </c>
      <c r="S11" s="44" t="s">
        <v>88</v>
      </c>
      <c r="T11" s="61">
        <f t="shared" si="4"/>
        <v>0.23</v>
      </c>
      <c r="U11" s="61">
        <f t="shared" ref="U11:X11" si="10">T11</f>
        <v>0.23</v>
      </c>
      <c r="V11" s="61">
        <f t="shared" si="10"/>
        <v>0.23</v>
      </c>
      <c r="W11" s="61">
        <f t="shared" si="10"/>
        <v>0.23</v>
      </c>
      <c r="X11" s="61">
        <f t="shared" si="10"/>
        <v>0.23</v>
      </c>
    </row>
    <row r="12" spans="1:24" ht="25.25" customHeight="1">
      <c r="K12" s="30"/>
      <c r="M12" s="30"/>
      <c r="N12" s="30"/>
      <c r="O12" s="30"/>
      <c r="P12" s="30"/>
      <c r="Q12" s="30"/>
      <c r="S12" s="45"/>
    </row>
    <row r="13" spans="1:24" ht="25.25" customHeight="1">
      <c r="A13" s="25" t="s">
        <v>71</v>
      </c>
      <c r="B13" s="24">
        <f>'Income Statement'!D8/'Income Statement'!D6</f>
        <v>0.53498090584575808</v>
      </c>
      <c r="C13" s="24">
        <f>'Income Statement'!E8/'Income Statement'!E6</f>
        <v>0.56850173078210264</v>
      </c>
      <c r="D13" s="24">
        <f>'Income Statement'!F8/'Income Statement'!F6</f>
        <v>0.56816480971914718</v>
      </c>
      <c r="E13" s="24">
        <f>'Income Statement'!G8/'Income Statement'!G6</f>
        <v>0.55855509623865229</v>
      </c>
      <c r="F13" s="24">
        <f>'Income Statement'!H8/'Income Statement'!H6</f>
        <v>0.55581386017497636</v>
      </c>
      <c r="G13" s="24">
        <f>'Income Statement'!I8/'Income Statement'!I6</f>
        <v>0.55405151185379686</v>
      </c>
      <c r="H13" s="24">
        <f>'Income Statement'!J8/'Income Statement'!J6</f>
        <v>0.54725057154271994</v>
      </c>
      <c r="I13" s="24">
        <f>'Income Statement'!K8/'Income Statement'!K6</f>
        <v>0.49971673282719525</v>
      </c>
      <c r="J13" s="24">
        <f>'Income Statement'!L8/'Income Statement'!L6</f>
        <v>0.5187849173900192</v>
      </c>
      <c r="K13" s="29">
        <f>'Income Statement'!M8/'Income Statement'!M6</f>
        <v>0.54225699638066227</v>
      </c>
      <c r="M13" s="29">
        <f t="shared" si="1"/>
        <v>0.54480771327550304</v>
      </c>
      <c r="N13" s="29">
        <f t="shared" si="2"/>
        <v>0.53241214599887865</v>
      </c>
      <c r="O13" s="29">
        <f t="shared" si="3"/>
        <v>0.52025288219929222</v>
      </c>
      <c r="P13" s="30"/>
      <c r="Q13" s="43"/>
      <c r="S13" s="44" t="s">
        <v>89</v>
      </c>
    </row>
    <row r="14" spans="1:24" ht="25.25" customHeight="1">
      <c r="A14" s="25" t="s">
        <v>72</v>
      </c>
      <c r="B14" s="24">
        <f>'Income Statement'!D11/'Income Statement'!D6</f>
        <v>0.19001454449292612</v>
      </c>
      <c r="C14" s="24">
        <f>'Income Statement'!E11/'Income Statement'!E6</f>
        <v>0.20441064439015419</v>
      </c>
      <c r="D14" s="24">
        <f>'Income Statement'!F11/'Income Statement'!F6</f>
        <v>0.21728435294055809</v>
      </c>
      <c r="E14" s="24">
        <f>'Income Statement'!G11/'Income Statement'!G6</f>
        <v>0.2115059801526494</v>
      </c>
      <c r="F14" s="24">
        <f>'Income Statement'!H11/'Income Statement'!H6</f>
        <v>0.21253100271642841</v>
      </c>
      <c r="G14" s="24">
        <f>'Income Statement'!I11/'Income Statement'!I6</f>
        <v>0.2078859627219718</v>
      </c>
      <c r="H14" s="24">
        <f>'Income Statement'!J11/'Income Statement'!J6</f>
        <v>0.19639056030517768</v>
      </c>
      <c r="I14" s="24">
        <f>'Income Statement'!K11/'Income Statement'!K6</f>
        <v>0.18431055086542539</v>
      </c>
      <c r="J14" s="24">
        <f>'Income Statement'!L11/'Income Statement'!L6</f>
        <v>0.18217606164670402</v>
      </c>
      <c r="K14" s="29">
        <f>'Income Statement'!M11/'Income Statement'!M6</f>
        <v>0.17916475462995105</v>
      </c>
      <c r="M14" s="29">
        <f t="shared" si="1"/>
        <v>0.19856744148619462</v>
      </c>
      <c r="N14" s="29">
        <f t="shared" si="2"/>
        <v>0.18998557803384597</v>
      </c>
      <c r="O14" s="29">
        <f t="shared" si="3"/>
        <v>0.18188378904736016</v>
      </c>
      <c r="P14" s="30"/>
      <c r="Q14" s="43"/>
      <c r="S14" s="44" t="s">
        <v>84</v>
      </c>
    </row>
    <row r="15" spans="1:24" ht="25.25" customHeight="1">
      <c r="A15" s="25" t="s">
        <v>73</v>
      </c>
      <c r="B15" s="24">
        <f>'Income Statement'!D14/'Income Statement'!D6</f>
        <v>0.17292079862488435</v>
      </c>
      <c r="C15" s="24">
        <f>'Income Statement'!E14/'Income Statement'!E6</f>
        <v>0.18742743058291958</v>
      </c>
      <c r="D15" s="24">
        <f>'Income Statement'!F14/'Income Statement'!F6</f>
        <v>0.19949488312930677</v>
      </c>
      <c r="E15" s="24">
        <f>'Income Statement'!G14/'Income Statement'!G6</f>
        <v>0.19241257423173527</v>
      </c>
      <c r="F15" s="24">
        <f>'Income Statement'!H14/'Income Statement'!H6</f>
        <v>0.19459548836659968</v>
      </c>
      <c r="G15" s="24">
        <f>'Income Statement'!I14/'Income Statement'!I6</f>
        <v>0.18903397323854715</v>
      </c>
      <c r="H15" s="24">
        <f>'Income Statement'!J14/'Income Statement'!J6</f>
        <v>0.1820105755067003</v>
      </c>
      <c r="I15" s="24">
        <f>'Income Statement'!K14/'Income Statement'!K6</f>
        <v>0.16832427431479124</v>
      </c>
      <c r="J15" s="24">
        <f>'Income Statement'!L14/'Income Statement'!L6</f>
        <v>0.16700449507217238</v>
      </c>
      <c r="K15" s="29">
        <f>'Income Statement'!M14/'Income Statement'!M6</f>
        <v>0.16315275240154634</v>
      </c>
      <c r="M15" s="29">
        <f t="shared" si="1"/>
        <v>0.18163772454692031</v>
      </c>
      <c r="N15" s="29">
        <f t="shared" si="2"/>
        <v>0.17390521410675147</v>
      </c>
      <c r="O15" s="29">
        <f t="shared" si="3"/>
        <v>0.16616050726283668</v>
      </c>
      <c r="P15" s="30"/>
      <c r="Q15" s="43"/>
      <c r="S15" s="44" t="s">
        <v>82</v>
      </c>
    </row>
    <row r="16" spans="1:24" ht="25.25" customHeight="1">
      <c r="A16" s="25" t="s">
        <v>74</v>
      </c>
      <c r="B16" s="24">
        <f>'Income Statement'!D20/'Income Statement'!D6</f>
        <v>0.11849001718894622</v>
      </c>
      <c r="C16" s="24">
        <f>'Income Statement'!E20/'Income Statement'!E6</f>
        <v>0.13825097853784118</v>
      </c>
      <c r="D16" s="24">
        <f>'Income Statement'!F20/'Income Statement'!F6</f>
        <v>0.13910424539954691</v>
      </c>
      <c r="E16" s="24">
        <f>'Income Statement'!G20/'Income Statement'!G6</f>
        <v>0.15963800860671998</v>
      </c>
      <c r="F16" s="24">
        <f>'Income Statement'!H20/'Income Statement'!H6</f>
        <v>0.13206094248257935</v>
      </c>
      <c r="G16" s="24">
        <f>'Income Statement'!I20/'Income Statement'!I6</f>
        <v>0.14861761869091167</v>
      </c>
      <c r="H16" s="24">
        <f>'Income Statement'!J20/'Income Statement'!J6</f>
        <v>0.14387974817100274</v>
      </c>
      <c r="I16" s="24">
        <f>'Income Statement'!K20/'Income Statement'!K6</f>
        <v>0.12977333179137274</v>
      </c>
      <c r="J16" s="24">
        <f>'Income Statement'!L20/'Income Statement'!L6</f>
        <v>0.12283366371648467</v>
      </c>
      <c r="K16" s="29">
        <f>'Income Statement'!M20/'Income Statement'!M6</f>
        <v>0.11792934466952386</v>
      </c>
      <c r="M16" s="29">
        <f t="shared" si="1"/>
        <v>0.13505778992549294</v>
      </c>
      <c r="N16" s="29">
        <f t="shared" si="2"/>
        <v>0.13260674140785914</v>
      </c>
      <c r="O16" s="29">
        <f t="shared" si="3"/>
        <v>0.12351211339246043</v>
      </c>
      <c r="P16" s="30"/>
      <c r="Q16" s="43"/>
      <c r="S16" s="44" t="s">
        <v>90</v>
      </c>
    </row>
    <row r="17" spans="1:24" ht="25.25" customHeight="1"/>
    <row r="18" spans="1:24" ht="25.25" customHeight="1">
      <c r="A18" s="35" t="s">
        <v>168</v>
      </c>
    </row>
    <row r="19" spans="1:24" ht="25.25" customHeight="1">
      <c r="A19" s="53" t="s">
        <v>169</v>
      </c>
      <c r="B19" s="24">
        <f>Calcs!D7/Calcs!D6</f>
        <v>0.48474568705782561</v>
      </c>
      <c r="C19" s="24">
        <f>Calcs!E7/Calcs!E6</f>
        <v>0.44974158242760509</v>
      </c>
      <c r="D19" s="24">
        <f>Calcs!F7/Calcs!F6</f>
        <v>0.50648025694313248</v>
      </c>
      <c r="E19" s="24">
        <f>Calcs!G7/Calcs!G6</f>
        <v>0.45365330062102255</v>
      </c>
      <c r="F19" s="24">
        <f>Calcs!H7/Calcs!H6</f>
        <v>0.58827001502468368</v>
      </c>
      <c r="G19" s="24">
        <f>Calcs!I7/Calcs!I6</f>
        <v>0.5936254323834621</v>
      </c>
      <c r="H19" s="24">
        <f>Calcs!J7/Calcs!J6</f>
        <v>0.54429082003161111</v>
      </c>
      <c r="I19" s="24">
        <f>Calcs!K7/Calcs!K6</f>
        <v>0.62362429265249741</v>
      </c>
      <c r="J19" s="24">
        <f>Calcs!L7/Calcs!L6</f>
        <v>0.67554134529419818</v>
      </c>
      <c r="K19" s="24">
        <f>Calcs!M7/Calcs!M6</f>
        <v>0.67774682671874098</v>
      </c>
      <c r="M19" s="29">
        <f t="shared" ref="M19" si="11">AVERAGE(B19:K19)</f>
        <v>0.5597719559154779</v>
      </c>
      <c r="N19" s="29">
        <f t="shared" ref="N19" si="12">AVERAGE(G19:K19)</f>
        <v>0.622965743416102</v>
      </c>
      <c r="O19" s="29">
        <f t="shared" ref="O19" si="13">AVERAGE(I19:K19)</f>
        <v>0.65897082155514553</v>
      </c>
      <c r="Q19" s="62">
        <v>0.56000000000000005</v>
      </c>
      <c r="S19" s="44" t="s">
        <v>170</v>
      </c>
      <c r="T19" s="61">
        <f t="shared" ref="T19" si="14">Q19</f>
        <v>0.56000000000000005</v>
      </c>
      <c r="U19" s="61">
        <f t="shared" ref="U19:X19" si="15">T19</f>
        <v>0.56000000000000005</v>
      </c>
      <c r="V19" s="61">
        <f t="shared" si="15"/>
        <v>0.56000000000000005</v>
      </c>
      <c r="W19" s="61">
        <f t="shared" si="15"/>
        <v>0.56000000000000005</v>
      </c>
      <c r="X19" s="61">
        <f t="shared" si="15"/>
        <v>0.56000000000000005</v>
      </c>
    </row>
    <row r="20" spans="1:24" ht="25.25" customHeight="1"/>
    <row r="21" spans="1:24" ht="25.25" customHeight="1">
      <c r="A21" s="35" t="s">
        <v>91</v>
      </c>
      <c r="F21" s="24"/>
    </row>
    <row r="22" spans="1:24" ht="25.25" customHeight="1">
      <c r="A22" s="30" t="s">
        <v>92</v>
      </c>
      <c r="B22" s="29">
        <f>SUM('Balance Sheet HISTORICAL'!D6:D7)/'Income Statement'!D6</f>
        <v>0.27105381462382655</v>
      </c>
      <c r="C22" s="29">
        <f>SUM('Balance Sheet HISTORICAL'!E6:E7)/'Income Statement'!E6</f>
        <v>0.28508682060577401</v>
      </c>
      <c r="D22" s="29">
        <f>SUM('Balance Sheet HISTORICAL'!F6:F7)/'Income Statement'!F6</f>
        <v>0.30813705959958582</v>
      </c>
      <c r="E22" s="29">
        <f>SUM('Balance Sheet HISTORICAL'!G6:G7)/'Income Statement'!G6</f>
        <v>0.12015382431129105</v>
      </c>
      <c r="F22" s="29">
        <f>SUM('Balance Sheet HISTORICAL'!H6:H7)/'Income Statement'!H6</f>
        <v>6.4327388685484821E-2</v>
      </c>
      <c r="G22" s="29">
        <f>SUM('Balance Sheet HISTORICAL'!I6:I7)/'Income Statement'!I6</f>
        <v>0.13821854696963021</v>
      </c>
      <c r="H22" s="29">
        <f>SUM('Balance Sheet HISTORICAL'!J6:J7)/'Income Statement'!J6</f>
        <v>0.17611025406210498</v>
      </c>
      <c r="I22" s="29">
        <f>SUM('Balance Sheet HISTORICAL'!K6:K7)/'Income Statement'!K6</f>
        <v>7.2940518869742885E-2</v>
      </c>
      <c r="J22" s="29">
        <f>SUM('Balance Sheet HISTORICAL'!L6:L7)/'Income Statement'!L6</f>
        <v>8.9609217224595403E-2</v>
      </c>
      <c r="K22" s="29">
        <f>SUM('Balance Sheet HISTORICAL'!M6:M7)/'Income Statement'!M6</f>
        <v>7.9076194169233449E-2</v>
      </c>
      <c r="M22" s="29">
        <f t="shared" ref="M22:M25" si="16">AVERAGE(B22:K22)</f>
        <v>0.16047136391212694</v>
      </c>
      <c r="N22" s="29">
        <f t="shared" ref="N22:N25" si="17">AVERAGE(G22:K22)</f>
        <v>0.11119094625906141</v>
      </c>
      <c r="O22" s="29">
        <f t="shared" ref="O22:O25" si="18">AVERAGE(I22:K22)</f>
        <v>8.0541976754523917E-2</v>
      </c>
      <c r="Q22" s="62">
        <v>8.1000000000000003E-2</v>
      </c>
      <c r="S22" s="31" t="s">
        <v>117</v>
      </c>
      <c r="T22" s="61">
        <f t="shared" ref="T22:T25" si="19">Q22</f>
        <v>8.1000000000000003E-2</v>
      </c>
      <c r="U22" s="61">
        <f t="shared" ref="U22:X25" si="20">T22</f>
        <v>8.1000000000000003E-2</v>
      </c>
      <c r="V22" s="61">
        <f t="shared" si="20"/>
        <v>8.1000000000000003E-2</v>
      </c>
      <c r="W22" s="61">
        <f t="shared" si="20"/>
        <v>8.1000000000000003E-2</v>
      </c>
      <c r="X22" s="61">
        <f t="shared" si="20"/>
        <v>8.1000000000000003E-2</v>
      </c>
    </row>
    <row r="23" spans="1:24" ht="25.25" customHeight="1">
      <c r="A23" s="30" t="s">
        <v>93</v>
      </c>
      <c r="B23" s="29">
        <f>'Balance Sheet HISTORICAL'!D8/'Income Statement'!D6</f>
        <v>0.15536162898320771</v>
      </c>
      <c r="C23" s="29">
        <f>'Balance Sheet HISTORICAL'!E8/'Income Statement'!E6</f>
        <v>0.16991094648908503</v>
      </c>
      <c r="D23" s="29">
        <f>'Balance Sheet HISTORICAL'!F8/'Income Statement'!F6</f>
        <v>0.16887775751236511</v>
      </c>
      <c r="E23" s="29">
        <f>'Balance Sheet HISTORICAL'!G8/'Income Statement'!G6</f>
        <v>0.16896440303732027</v>
      </c>
      <c r="F23" s="29">
        <f>'Balance Sheet HISTORICAL'!H8/'Income Statement'!H6</f>
        <v>0.17211290894059289</v>
      </c>
      <c r="G23" s="29">
        <f>'Balance Sheet HISTORICAL'!I8/'Income Statement'!I6</f>
        <v>0.19748444300828891</v>
      </c>
      <c r="H23" s="29">
        <f>'Balance Sheet HISTORICAL'!J8/'Income Statement'!J6</f>
        <v>0.18347950969967775</v>
      </c>
      <c r="I23" s="29">
        <f>'Balance Sheet HISTORICAL'!K8/'Income Statement'!K6</f>
        <v>0.1733356462742377</v>
      </c>
      <c r="J23" s="29">
        <f>'Balance Sheet HISTORICAL'!L8/'Income Statement'!L6</f>
        <v>0.18248131706545309</v>
      </c>
      <c r="K23" s="29">
        <f>'Balance Sheet HISTORICAL'!M8/'Income Statement'!M6</f>
        <v>0.19895285298455526</v>
      </c>
      <c r="M23" s="29">
        <f t="shared" si="16"/>
        <v>0.17709614139947838</v>
      </c>
      <c r="N23" s="29">
        <f t="shared" si="17"/>
        <v>0.18714675380644255</v>
      </c>
      <c r="O23" s="29">
        <f t="shared" si="18"/>
        <v>0.18492327210808202</v>
      </c>
      <c r="Q23" s="62">
        <v>0.2</v>
      </c>
      <c r="S23" s="31" t="s">
        <v>118</v>
      </c>
      <c r="T23" s="61">
        <f t="shared" si="19"/>
        <v>0.2</v>
      </c>
      <c r="U23" s="61">
        <f t="shared" si="20"/>
        <v>0.2</v>
      </c>
      <c r="V23" s="61">
        <f t="shared" si="20"/>
        <v>0.2</v>
      </c>
      <c r="W23" s="61">
        <f t="shared" si="20"/>
        <v>0.2</v>
      </c>
      <c r="X23" s="61">
        <f t="shared" si="20"/>
        <v>0.2</v>
      </c>
    </row>
    <row r="24" spans="1:24" ht="25.25" customHeight="1">
      <c r="A24" s="30" t="s">
        <v>94</v>
      </c>
      <c r="B24" s="29">
        <f>'Balance Sheet HISTORICAL'!D9/'Income Statement'!D7</f>
        <v>0.18227211942958529</v>
      </c>
      <c r="C24" s="29">
        <f>'Balance Sheet HISTORICAL'!E9/'Income Statement'!E7</f>
        <v>0.19355473491017575</v>
      </c>
      <c r="D24" s="29">
        <f>'Balance Sheet HISTORICAL'!F9/'Income Statement'!F7</f>
        <v>0.21507355103862461</v>
      </c>
      <c r="E24" s="29">
        <f>'Balance Sheet HISTORICAL'!G9/'Income Statement'!G7</f>
        <v>0.20259713243842373</v>
      </c>
      <c r="F24" s="29">
        <f>'Balance Sheet HISTORICAL'!H9/'Income Statement'!H7</f>
        <v>0.21634044986559242</v>
      </c>
      <c r="G24" s="29">
        <f>'Balance Sheet HISTORICAL'!I9/'Income Statement'!I7</f>
        <v>0.22651485796618684</v>
      </c>
      <c r="H24" s="29">
        <f>'Balance Sheet HISTORICAL'!J9/'Income Statement'!J7</f>
        <v>0.25228168633473924</v>
      </c>
      <c r="I24" s="29">
        <f>'Balance Sheet HISTORICAL'!K9/'Income Statement'!K7</f>
        <v>0.40107188081241041</v>
      </c>
      <c r="J24" s="29">
        <f>'Balance Sheet HISTORICAL'!L9/'Income Statement'!L7</f>
        <v>0.33466234740396872</v>
      </c>
      <c r="K24" s="29">
        <f>'Balance Sheet HISTORICAL'!M9/'Income Statement'!M7</f>
        <v>0.29256815732680425</v>
      </c>
      <c r="M24" s="29">
        <f t="shared" si="16"/>
        <v>0.25169369175265111</v>
      </c>
      <c r="N24" s="29">
        <f t="shared" si="17"/>
        <v>0.30141978596882185</v>
      </c>
      <c r="O24" s="29">
        <f t="shared" si="18"/>
        <v>0.34276746184772783</v>
      </c>
      <c r="Q24" s="62">
        <v>0.25</v>
      </c>
      <c r="S24" s="31" t="s">
        <v>119</v>
      </c>
      <c r="T24" s="61">
        <f t="shared" si="19"/>
        <v>0.25</v>
      </c>
      <c r="U24" s="61">
        <f t="shared" si="20"/>
        <v>0.25</v>
      </c>
      <c r="V24" s="61">
        <f t="shared" si="20"/>
        <v>0.25</v>
      </c>
      <c r="W24" s="61">
        <f t="shared" si="20"/>
        <v>0.25</v>
      </c>
      <c r="X24" s="61">
        <f t="shared" si="20"/>
        <v>0.25</v>
      </c>
    </row>
    <row r="25" spans="1:24" ht="25.25" customHeight="1">
      <c r="A25" s="30" t="s">
        <v>95</v>
      </c>
      <c r="B25" s="29">
        <f>'Balance Sheet HISTORICAL'!D11/'Income Statement'!D6</f>
        <v>1.6202565119661509E-2</v>
      </c>
      <c r="C25" s="29">
        <f>'Balance Sheet HISTORICAL'!E11/'Income Statement'!E6</f>
        <v>1.17555888302204E-2</v>
      </c>
      <c r="D25" s="29">
        <f>'Balance Sheet HISTORICAL'!F11/'Income Statement'!F6</f>
        <v>2.1043032172948652E-2</v>
      </c>
      <c r="E25" s="29">
        <f>'Balance Sheet HISTORICAL'!G11/'Income Statement'!G6</f>
        <v>3.2647276252209208E-2</v>
      </c>
      <c r="F25" s="29">
        <f>'Balance Sheet HISTORICAL'!H11/'Income Statement'!H6</f>
        <v>1.7044998228416205E-2</v>
      </c>
      <c r="G25" s="29">
        <f>'Balance Sheet HISTORICAL'!I11/'Income Statement'!I6</f>
        <v>1.6538636664071793E-2</v>
      </c>
      <c r="H25" s="29">
        <f>'Balance Sheet HISTORICAL'!J11/'Income Statement'!J6</f>
        <v>2.0380693656539831E-2</v>
      </c>
      <c r="I25" s="29">
        <f>'Balance Sheet HISTORICAL'!K11/'Income Statement'!K6</f>
        <v>3.4243090089048224E-2</v>
      </c>
      <c r="J25" s="29">
        <f>'Balance Sheet HISTORICAL'!L11/'Income Statement'!L6</f>
        <v>2.9447841341634792E-2</v>
      </c>
      <c r="K25" s="29">
        <f>'Balance Sheet HISTORICAL'!M11/'Income Statement'!M6</f>
        <v>2.0592423762651191E-2</v>
      </c>
      <c r="M25" s="29">
        <f t="shared" si="16"/>
        <v>2.1989614611740184E-2</v>
      </c>
      <c r="N25" s="29">
        <f t="shared" si="17"/>
        <v>2.4240537102789166E-2</v>
      </c>
      <c r="O25" s="29">
        <f t="shared" si="18"/>
        <v>2.8094451731111404E-2</v>
      </c>
      <c r="Q25" s="62">
        <v>0.02</v>
      </c>
      <c r="S25" s="31" t="s">
        <v>120</v>
      </c>
      <c r="T25" s="61">
        <f t="shared" si="19"/>
        <v>0.02</v>
      </c>
      <c r="U25" s="61">
        <f t="shared" si="20"/>
        <v>0.02</v>
      </c>
      <c r="V25" s="61">
        <f t="shared" si="20"/>
        <v>0.02</v>
      </c>
      <c r="W25" s="61">
        <f t="shared" si="20"/>
        <v>0.02</v>
      </c>
      <c r="X25" s="61">
        <f t="shared" si="20"/>
        <v>0.02</v>
      </c>
    </row>
    <row r="26" spans="1:24" ht="25.25" customHeight="1"/>
    <row r="27" spans="1:24" ht="25.25" customHeight="1">
      <c r="A27" s="35" t="s">
        <v>104</v>
      </c>
      <c r="F27" s="24"/>
    </row>
    <row r="28" spans="1:24" ht="25.25" customHeight="1">
      <c r="A28" s="30" t="s">
        <v>153</v>
      </c>
      <c r="B28" s="29">
        <f>Calcs!D20/'Income Statement'!D6</f>
        <v>1.5295517651725505E-2</v>
      </c>
      <c r="C28" s="29">
        <f>Calcs!E20/'Income Statement'!E6</f>
        <v>1.143772821604014E-2</v>
      </c>
      <c r="D28" s="29">
        <f>Calcs!F20/'Income Statement'!F6</f>
        <v>5.2955800959774618E-2</v>
      </c>
      <c r="E28" s="29">
        <f>Calcs!G20/'Income Statement'!G6</f>
        <v>3.0245913276771157E-2</v>
      </c>
      <c r="F28" s="29">
        <f>Calcs!H20/'Income Statement'!H6</f>
        <v>3.1373567969764968E-2</v>
      </c>
      <c r="G28" s="29">
        <f>Calcs!I20/'Income Statement'!I6</f>
        <v>4.7263389294439628E-2</v>
      </c>
      <c r="H28" s="29">
        <f>Calcs!J20/'Income Statement'!J6</f>
        <v>3.085171549797279E-2</v>
      </c>
      <c r="I28" s="29">
        <f>Calcs!K20/'Income Statement'!K6</f>
        <v>1.600362360741683E-2</v>
      </c>
      <c r="J28" s="29">
        <f>Calcs!L20/'Income Statement'!L6</f>
        <v>1.2789085257466195E-2</v>
      </c>
      <c r="K28" s="29">
        <f>Calcs!M20/'Income Statement'!M6</f>
        <v>7.1220898236749371E-3</v>
      </c>
      <c r="M28" s="29">
        <f t="shared" ref="M28" si="21">AVERAGE(B28:K28)</f>
        <v>2.5533843155504676E-2</v>
      </c>
      <c r="N28" s="29">
        <f t="shared" ref="N28" si="22">AVERAGE(G28:K28)</f>
        <v>2.2805980696194075E-2</v>
      </c>
      <c r="O28" s="29">
        <f t="shared" ref="O28" si="23">AVERAGE(I28:K28)</f>
        <v>1.1971599562852655E-2</v>
      </c>
      <c r="Q28" s="62">
        <v>0.02</v>
      </c>
      <c r="S28" s="31" t="s">
        <v>154</v>
      </c>
      <c r="T28" s="61">
        <f t="shared" ref="T28:T29" si="24">Q28</f>
        <v>0.02</v>
      </c>
      <c r="U28" s="61">
        <f t="shared" ref="U28:X29" si="25">T28</f>
        <v>0.02</v>
      </c>
      <c r="V28" s="61">
        <f t="shared" si="25"/>
        <v>0.02</v>
      </c>
      <c r="W28" s="61">
        <f t="shared" si="25"/>
        <v>0.02</v>
      </c>
      <c r="X28" s="61">
        <f t="shared" si="25"/>
        <v>0.02</v>
      </c>
    </row>
    <row r="29" spans="1:24" ht="25.25" customHeight="1">
      <c r="A29" s="30" t="s">
        <v>155</v>
      </c>
      <c r="B29" s="29">
        <f>Calcs!D26/'Income Statement'!D6</f>
        <v>9.057252413063599E-3</v>
      </c>
      <c r="C29" s="29">
        <f>Calcs!E26/'Income Statement'!E6</f>
        <v>9.1654188667349666E-3</v>
      </c>
      <c r="D29" s="29">
        <f>Calcs!F26/'Income Statement'!F6</f>
        <v>1.0223229068661204E-2</v>
      </c>
      <c r="E29" s="29">
        <f>Calcs!G26/'Income Statement'!G6</f>
        <v>1.1869734014168286E-2</v>
      </c>
      <c r="F29" s="29">
        <f>Calcs!H26/'Income Statement'!H6</f>
        <v>1.1543640014172671E-2</v>
      </c>
      <c r="G29" s="29">
        <f>Calcs!I26/'Income Statement'!I6</f>
        <v>1.3439478283859408E-2</v>
      </c>
      <c r="H29" s="29">
        <f>Calcs!J26/'Income Statement'!J6</f>
        <v>1.1411385571665345E-2</v>
      </c>
      <c r="I29" s="29">
        <f>Calcs!K26/'Income Statement'!K6</f>
        <v>1.3222312169924059E-2</v>
      </c>
      <c r="J29" s="29">
        <f>Calcs!L26/'Income Statement'!L6</f>
        <v>1.3300946477929475E-2</v>
      </c>
      <c r="K29" s="29">
        <f>Calcs!M26/'Income Statement'!M6</f>
        <v>1.4139194015141637E-2</v>
      </c>
      <c r="M29" s="29">
        <f t="shared" ref="M29" si="26">AVERAGE(B29:K29)</f>
        <v>1.1737259089532066E-2</v>
      </c>
      <c r="N29" s="29">
        <f t="shared" ref="N29" si="27">AVERAGE(G29:K29)</f>
        <v>1.3102663303703984E-2</v>
      </c>
      <c r="O29" s="29">
        <f t="shared" ref="O29" si="28">AVERAGE(I29:K29)</f>
        <v>1.3554150887665059E-2</v>
      </c>
      <c r="Q29" s="62">
        <v>1.4E-2</v>
      </c>
      <c r="S29" s="31" t="s">
        <v>156</v>
      </c>
      <c r="T29" s="61">
        <f t="shared" si="24"/>
        <v>1.4E-2</v>
      </c>
      <c r="U29" s="61">
        <f t="shared" si="25"/>
        <v>1.4E-2</v>
      </c>
      <c r="V29" s="61">
        <f t="shared" si="25"/>
        <v>1.4E-2</v>
      </c>
      <c r="W29" s="61">
        <f t="shared" si="25"/>
        <v>1.4E-2</v>
      </c>
      <c r="X29" s="61">
        <f t="shared" si="25"/>
        <v>1.4E-2</v>
      </c>
    </row>
    <row r="30" spans="1:24" ht="25.25" customHeight="1">
      <c r="A30" s="30" t="s">
        <v>157</v>
      </c>
      <c r="B30" s="40">
        <f>'Balance Sheet HISTORICAL'!D14</f>
        <v>96409</v>
      </c>
      <c r="C30" s="40">
        <f>'Balance Sheet HISTORICAL'!E14</f>
        <v>95649</v>
      </c>
      <c r="D30" s="40">
        <f>'Balance Sheet HISTORICAL'!F14</f>
        <v>95597</v>
      </c>
      <c r="E30" s="40">
        <f>'Balance Sheet HISTORICAL'!G14</f>
        <v>95621</v>
      </c>
      <c r="F30" s="40">
        <f>'Balance Sheet HISTORICAL'!H14</f>
        <v>95347</v>
      </c>
      <c r="G30" s="40">
        <f>'Balance Sheet HISTORICAL'!I14</f>
        <v>95731</v>
      </c>
      <c r="H30" s="40">
        <f>'Balance Sheet HISTORICAL'!J14</f>
        <v>95869</v>
      </c>
      <c r="I30" s="40">
        <f>'Balance Sheet HISTORICAL'!K14</f>
        <v>95180</v>
      </c>
      <c r="J30" s="40">
        <f>'Balance Sheet HISTORICAL'!L14</f>
        <v>95505</v>
      </c>
      <c r="K30" s="40">
        <f>'Balance Sheet HISTORICAL'!M14</f>
        <v>96985</v>
      </c>
      <c r="M30" s="29" t="e">
        <f>NA()</f>
        <v>#N/A</v>
      </c>
      <c r="N30" s="29" t="e">
        <f>NA()</f>
        <v>#N/A</v>
      </c>
      <c r="O30" s="29" t="e">
        <f>NA()</f>
        <v>#N/A</v>
      </c>
      <c r="Q30" s="40">
        <f>K30</f>
        <v>96985</v>
      </c>
      <c r="S30" s="30" t="s">
        <v>158</v>
      </c>
      <c r="T30" s="40">
        <f>Q30</f>
        <v>96985</v>
      </c>
      <c r="U30" s="40">
        <f>T30</f>
        <v>96985</v>
      </c>
      <c r="V30" s="40">
        <f t="shared" ref="V30:X30" si="29">U30</f>
        <v>96985</v>
      </c>
      <c r="W30" s="40">
        <f t="shared" si="29"/>
        <v>96985</v>
      </c>
      <c r="X30" s="40">
        <f t="shared" si="29"/>
        <v>96985</v>
      </c>
    </row>
    <row r="31" spans="1:24" ht="25.25" customHeight="1">
      <c r="A31" s="30" t="s">
        <v>162</v>
      </c>
      <c r="B31" s="40">
        <f>Calcs!D14</f>
        <v>2329</v>
      </c>
      <c r="C31" s="40">
        <f>Calcs!E14</f>
        <v>-794</v>
      </c>
      <c r="D31" s="40">
        <f>Calcs!F14</f>
        <v>-68</v>
      </c>
      <c r="E31" s="40">
        <f>Calcs!G14</f>
        <v>220</v>
      </c>
      <c r="F31" s="40">
        <f>Calcs!H14</f>
        <v>-155</v>
      </c>
      <c r="G31" s="40">
        <f>Calcs!I14</f>
        <v>192</v>
      </c>
      <c r="H31" s="40">
        <f>Calcs!J14</f>
        <v>60</v>
      </c>
      <c r="I31" s="40">
        <f>Calcs!K14</f>
        <v>-222</v>
      </c>
      <c r="J31" s="40">
        <f>Calcs!L14</f>
        <v>87</v>
      </c>
      <c r="K31" s="40">
        <f>Calcs!M14</f>
        <v>2658</v>
      </c>
      <c r="M31" s="29" t="e">
        <f>NA()</f>
        <v>#N/A</v>
      </c>
      <c r="N31" s="29" t="e">
        <f>NA()</f>
        <v>#N/A</v>
      </c>
      <c r="O31" s="29" t="e">
        <f>NA()</f>
        <v>#N/A</v>
      </c>
      <c r="Q31" s="63">
        <v>0</v>
      </c>
      <c r="S31" s="31" t="s">
        <v>163</v>
      </c>
      <c r="T31" s="40">
        <f t="shared" ref="T31:T34" si="30">Q31</f>
        <v>0</v>
      </c>
      <c r="U31" s="40">
        <f t="shared" ref="U31:X31" si="31">T31</f>
        <v>0</v>
      </c>
      <c r="V31" s="40">
        <f t="shared" si="31"/>
        <v>0</v>
      </c>
      <c r="W31" s="40">
        <f t="shared" si="31"/>
        <v>0</v>
      </c>
      <c r="X31" s="40">
        <f t="shared" si="31"/>
        <v>0</v>
      </c>
    </row>
    <row r="32" spans="1:24" ht="25.25" customHeight="1">
      <c r="A32" s="30" t="s">
        <v>164</v>
      </c>
      <c r="B32" s="40">
        <f>'Balance Sheet HISTORICAL'!D16</f>
        <v>0</v>
      </c>
      <c r="C32" s="40">
        <f>'Balance Sheet HISTORICAL'!E16</f>
        <v>0</v>
      </c>
      <c r="D32" s="40">
        <f>'Balance Sheet HISTORICAL'!F16</f>
        <v>0</v>
      </c>
      <c r="E32" s="40">
        <f>'Balance Sheet HISTORICAL'!G16</f>
        <v>0</v>
      </c>
      <c r="F32" s="40">
        <f>'Balance Sheet HISTORICAL'!H16</f>
        <v>0</v>
      </c>
      <c r="G32" s="40">
        <f>'Balance Sheet HISTORICAL'!I16</f>
        <v>8168</v>
      </c>
      <c r="H32" s="40">
        <f>'Balance Sheet HISTORICAL'!J16</f>
        <v>8824</v>
      </c>
      <c r="I32" s="40">
        <f>'Balance Sheet HISTORICAL'!K16</f>
        <v>7559</v>
      </c>
      <c r="J32" s="40">
        <f>'Balance Sheet HISTORICAL'!L16</f>
        <v>7820</v>
      </c>
      <c r="K32" s="40">
        <f>'Balance Sheet HISTORICAL'!M16</f>
        <v>11611</v>
      </c>
      <c r="M32" s="29" t="e">
        <f>NA()</f>
        <v>#N/A</v>
      </c>
      <c r="N32" s="29" t="e">
        <f>NA()</f>
        <v>#N/A</v>
      </c>
      <c r="O32" s="29" t="e">
        <f>NA()</f>
        <v>#N/A</v>
      </c>
      <c r="Q32" s="40">
        <f>K32</f>
        <v>11611</v>
      </c>
      <c r="S32" s="31" t="s">
        <v>158</v>
      </c>
      <c r="T32" s="40">
        <f t="shared" si="30"/>
        <v>11611</v>
      </c>
      <c r="U32" s="40">
        <f t="shared" ref="U32:X32" si="32">T32</f>
        <v>11611</v>
      </c>
      <c r="V32" s="40">
        <f t="shared" si="32"/>
        <v>11611</v>
      </c>
      <c r="W32" s="40">
        <f t="shared" si="32"/>
        <v>11611</v>
      </c>
      <c r="X32" s="40">
        <f t="shared" si="32"/>
        <v>11611</v>
      </c>
    </row>
    <row r="33" spans="1:24" ht="25.25" customHeight="1">
      <c r="A33" s="30" t="s">
        <v>165</v>
      </c>
      <c r="B33" s="40">
        <f>'Balance Sheet HISTORICAL'!D17</f>
        <v>0</v>
      </c>
      <c r="C33" s="40">
        <f>'Balance Sheet HISTORICAL'!E17</f>
        <v>621</v>
      </c>
      <c r="D33" s="40">
        <f>'Balance Sheet HISTORICAL'!F17</f>
        <v>495</v>
      </c>
      <c r="E33" s="40">
        <f>'Balance Sheet HISTORICAL'!G17</f>
        <v>511</v>
      </c>
      <c r="F33" s="40">
        <f>'Balance Sheet HISTORICAL'!H17</f>
        <v>403</v>
      </c>
      <c r="G33" s="40">
        <f>'Balance Sheet HISTORICAL'!I17</f>
        <v>464</v>
      </c>
      <c r="H33" s="40">
        <f>'Balance Sheet HISTORICAL'!J17</f>
        <v>858</v>
      </c>
      <c r="I33" s="40">
        <f>'Balance Sheet HISTORICAL'!K17</f>
        <v>679</v>
      </c>
      <c r="J33" s="40">
        <f>'Balance Sheet HISTORICAL'!L17</f>
        <v>1201</v>
      </c>
      <c r="K33" s="40">
        <f>'Balance Sheet HISTORICAL'!M17</f>
        <v>993</v>
      </c>
      <c r="M33" s="29" t="e">
        <f>NA()</f>
        <v>#N/A</v>
      </c>
      <c r="N33" s="29" t="e">
        <f>NA()</f>
        <v>#N/A</v>
      </c>
      <c r="O33" s="29" t="e">
        <f>NA()</f>
        <v>#N/A</v>
      </c>
      <c r="Q33" s="40">
        <f>K33</f>
        <v>993</v>
      </c>
      <c r="S33" s="31" t="s">
        <v>158</v>
      </c>
      <c r="T33" s="40">
        <f t="shared" si="30"/>
        <v>993</v>
      </c>
      <c r="U33" s="40">
        <f t="shared" ref="U33:X34" si="33">T33</f>
        <v>993</v>
      </c>
      <c r="V33" s="40">
        <f t="shared" si="33"/>
        <v>993</v>
      </c>
      <c r="W33" s="40">
        <f t="shared" si="33"/>
        <v>993</v>
      </c>
      <c r="X33" s="40">
        <f t="shared" si="33"/>
        <v>993</v>
      </c>
    </row>
    <row r="34" spans="1:24" ht="25.25" customHeight="1">
      <c r="A34" s="30" t="s">
        <v>105</v>
      </c>
      <c r="B34" s="29">
        <f>'Balance Sheet HISTORICAL'!D18/'Income Statement'!D6</f>
        <v>8.6182731720216843E-3</v>
      </c>
      <c r="C34" s="29">
        <f>'Balance Sheet HISTORICAL'!E18/'Income Statement'!E6</f>
        <v>8.3799616465705211E-3</v>
      </c>
      <c r="D34" s="29">
        <f>'Balance Sheet HISTORICAL'!F18/'Income Statement'!F6</f>
        <v>8.115509348078611E-3</v>
      </c>
      <c r="E34" s="29">
        <f>'Balance Sheet HISTORICAL'!G18/'Income Statement'!G6</f>
        <v>7.5247602308833395E-3</v>
      </c>
      <c r="F34" s="29">
        <f>'Balance Sheet HISTORICAL'!H18/'Income Statement'!H6</f>
        <v>7.5327743002244008E-3</v>
      </c>
      <c r="G34" s="29">
        <f>'Balance Sheet HISTORICAL'!I18/'Income Statement'!I6</f>
        <v>9.1261156725369521E-3</v>
      </c>
      <c r="H34" s="29">
        <f>'Balance Sheet HISTORICAL'!J18/'Income Statement'!J6</f>
        <v>1.2382480142755E-2</v>
      </c>
      <c r="I34" s="29">
        <f>'Balance Sheet HISTORICAL'!K18/'Income Statement'!K6</f>
        <v>1.8642303689140743E-2</v>
      </c>
      <c r="J34" s="29">
        <f>'Balance Sheet HISTORICAL'!L18/'Income Statement'!L6</f>
        <v>2.504211221859266E-2</v>
      </c>
      <c r="K34" s="29">
        <f>'Balance Sheet HISTORICAL'!M18/'Income Statement'!M6</f>
        <v>2.5067859664689437E-2</v>
      </c>
      <c r="M34" s="29">
        <f t="shared" ref="M34" si="34">AVERAGE(B34:K34)</f>
        <v>1.3043215008549335E-2</v>
      </c>
      <c r="N34" s="29">
        <f t="shared" ref="N34" si="35">AVERAGE(G34:K34)</f>
        <v>1.8052174277542958E-2</v>
      </c>
      <c r="O34" s="29">
        <f t="shared" ref="O34" si="36">AVERAGE(I34:K34)</f>
        <v>2.2917425190807614E-2</v>
      </c>
      <c r="Q34" s="62">
        <v>2.5000000000000001E-2</v>
      </c>
      <c r="S34" s="31" t="s">
        <v>121</v>
      </c>
      <c r="T34" s="61">
        <f t="shared" si="30"/>
        <v>2.5000000000000001E-2</v>
      </c>
      <c r="U34" s="61">
        <f t="shared" si="33"/>
        <v>2.5000000000000001E-2</v>
      </c>
      <c r="V34" s="61">
        <f t="shared" si="33"/>
        <v>2.5000000000000001E-2</v>
      </c>
      <c r="W34" s="61">
        <f t="shared" si="33"/>
        <v>2.5000000000000001E-2</v>
      </c>
      <c r="X34" s="61">
        <f t="shared" si="33"/>
        <v>2.5000000000000001E-2</v>
      </c>
    </row>
    <row r="35" spans="1:24" ht="25.25" customHeight="1">
      <c r="S35" s="30"/>
    </row>
    <row r="36" spans="1:24" ht="25.25" customHeight="1">
      <c r="A36" s="35" t="s">
        <v>107</v>
      </c>
    </row>
    <row r="37" spans="1:24" ht="25.25" customHeight="1">
      <c r="A37" s="30" t="s">
        <v>106</v>
      </c>
      <c r="B37" s="29">
        <f>'Balance Sheet HISTORICAL'!D22/'Income Statement'!D7</f>
        <v>9.7402872257267459E-2</v>
      </c>
      <c r="C37" s="29">
        <f>'Balance Sheet HISTORICAL'!E22/'Income Statement'!E7</f>
        <v>0.11378410327654466</v>
      </c>
      <c r="D37" s="29">
        <f>'Balance Sheet HISTORICAL'!F22/'Income Statement'!F7</f>
        <v>0.12718186388243286</v>
      </c>
      <c r="E37" s="29">
        <f>'Balance Sheet HISTORICAL'!G22/'Income Statement'!G7</f>
        <v>0.10599529742063908</v>
      </c>
      <c r="F37" s="29">
        <f>'Balance Sheet HISTORICAL'!H22/'Income Statement'!H7</f>
        <v>9.9587227880461857E-2</v>
      </c>
      <c r="G37" s="29">
        <f>'Balance Sheet HISTORICAL'!I22/'Income Statement'!I7</f>
        <v>0.11898836906928717</v>
      </c>
      <c r="H37" s="29">
        <f>'Balance Sheet HISTORICAL'!J22/'Income Statement'!J7</f>
        <v>0.15158531013286394</v>
      </c>
      <c r="I37" s="29">
        <f>'Balance Sheet HISTORICAL'!K22/'Income Statement'!K7</f>
        <v>0.12656951833747329</v>
      </c>
      <c r="J37" s="29">
        <f>'Balance Sheet HISTORICAL'!L22/'Income Statement'!L7</f>
        <v>0.11923327617339798</v>
      </c>
      <c r="K37" s="29">
        <f>'Balance Sheet HISTORICAL'!M22/'Income Statement'!M7</f>
        <v>0.13302588177058314</v>
      </c>
      <c r="M37" s="29">
        <f t="shared" ref="M37:M40" si="37">AVERAGE(B37:K37)</f>
        <v>0.11933537202009514</v>
      </c>
      <c r="N37" s="29">
        <f t="shared" ref="N37:N40" si="38">AVERAGE(G37:K37)</f>
        <v>0.12988047109672113</v>
      </c>
      <c r="O37" s="29">
        <f t="shared" ref="O37:O40" si="39">AVERAGE(I37:K37)</f>
        <v>0.12627622542715147</v>
      </c>
      <c r="Q37" s="62">
        <v>0.124</v>
      </c>
      <c r="S37" s="31" t="s">
        <v>127</v>
      </c>
      <c r="T37" s="61">
        <f t="shared" ref="T37:T40" si="40">Q37</f>
        <v>0.124</v>
      </c>
      <c r="U37" s="61">
        <f t="shared" ref="U37:X40" si="41">T37</f>
        <v>0.124</v>
      </c>
      <c r="V37" s="61">
        <f t="shared" si="41"/>
        <v>0.124</v>
      </c>
      <c r="W37" s="61">
        <f t="shared" si="41"/>
        <v>0.124</v>
      </c>
      <c r="X37" s="61">
        <f t="shared" si="41"/>
        <v>0.124</v>
      </c>
    </row>
    <row r="38" spans="1:24" ht="25.25" customHeight="1">
      <c r="A38" s="30" t="s">
        <v>108</v>
      </c>
      <c r="B38" s="29">
        <f>'Balance Sheet HISTORICAL'!D23/'Income Statement'!D6</f>
        <v>4.0195689541187359E-2</v>
      </c>
      <c r="C38" s="29">
        <f>'Balance Sheet HISTORICAL'!E23/'Income Statement'!E6</f>
        <v>4.1392807418498961E-2</v>
      </c>
      <c r="D38" s="29">
        <f>'Balance Sheet HISTORICAL'!F23/'Income Statement'!F6</f>
        <v>4.9925625351505624E-2</v>
      </c>
      <c r="E38" s="29">
        <f>'Balance Sheet HISTORICAL'!G23/'Income Statement'!G6</f>
        <v>6.4232175815998313E-2</v>
      </c>
      <c r="F38" s="29">
        <f>'Balance Sheet HISTORICAL'!H23/'Income Statement'!H6</f>
        <v>4.3729774418329988E-2</v>
      </c>
      <c r="G38" s="29">
        <f>'Balance Sheet HISTORICAL'!I23/'Income Statement'!I6</f>
        <v>5.3023515415008153E-2</v>
      </c>
      <c r="H38" s="29">
        <f>'Balance Sheet HISTORICAL'!J23/'Income Statement'!J6</f>
        <v>5.2566127647718029E-2</v>
      </c>
      <c r="I38" s="29">
        <f>'Balance Sheet HISTORICAL'!K23/'Income Statement'!K6</f>
        <v>5.2351489919432559E-2</v>
      </c>
      <c r="J38" s="29">
        <f>'Balance Sheet HISTORICAL'!L23/'Income Statement'!L6</f>
        <v>5.5839405868721555E-2</v>
      </c>
      <c r="K38" s="29">
        <f>'Balance Sheet HISTORICAL'!M23/'Income Statement'!M6</f>
        <v>5.2953398232516082E-2</v>
      </c>
      <c r="M38" s="29">
        <f t="shared" si="37"/>
        <v>5.0621000962891662E-2</v>
      </c>
      <c r="N38" s="29">
        <f t="shared" si="38"/>
        <v>5.3346787416679274E-2</v>
      </c>
      <c r="O38" s="29">
        <f t="shared" si="39"/>
        <v>5.3714764673556729E-2</v>
      </c>
      <c r="Q38" s="62">
        <v>5.2999999999999999E-2</v>
      </c>
      <c r="S38" s="31" t="s">
        <v>122</v>
      </c>
      <c r="T38" s="61">
        <f t="shared" si="40"/>
        <v>5.2999999999999999E-2</v>
      </c>
      <c r="U38" s="61">
        <f t="shared" si="41"/>
        <v>5.2999999999999999E-2</v>
      </c>
      <c r="V38" s="61">
        <f t="shared" si="41"/>
        <v>5.2999999999999999E-2</v>
      </c>
      <c r="W38" s="61">
        <f t="shared" si="41"/>
        <v>5.2999999999999999E-2</v>
      </c>
      <c r="X38" s="61">
        <f t="shared" si="41"/>
        <v>5.2999999999999999E-2</v>
      </c>
    </row>
    <row r="39" spans="1:24" ht="25.25" customHeight="1">
      <c r="A39" s="30" t="s">
        <v>109</v>
      </c>
      <c r="B39" s="29">
        <f>'Balance Sheet HISTORICAL'!D24/'Income Statement'!D6</f>
        <v>3.5321962184318392E-2</v>
      </c>
      <c r="C39" s="29">
        <f>'Balance Sheet HISTORICAL'!E24/'Income Statement'!E6</f>
        <v>5.4813880789134947E-2</v>
      </c>
      <c r="D39" s="29">
        <f>'Balance Sheet HISTORICAL'!F24/'Income Statement'!F6</f>
        <v>3.73765459677377E-2</v>
      </c>
      <c r="E39" s="29">
        <f>'Balance Sheet HISTORICAL'!G24/'Income Statement'!G6</f>
        <v>3.6284814867398742E-2</v>
      </c>
      <c r="F39" s="29">
        <f>'Balance Sheet HISTORICAL'!H24/'Income Statement'!H6</f>
        <v>3.6142671548364237E-2</v>
      </c>
      <c r="G39" s="29">
        <f>'Balance Sheet HISTORICAL'!I24/'Income Statement'!I6</f>
        <v>3.6149503791940228E-2</v>
      </c>
      <c r="H39" s="29">
        <f>'Balance Sheet HISTORICAL'!J24/'Income Statement'!J6</f>
        <v>5.25743225386133E-2</v>
      </c>
      <c r="I39" s="29">
        <f>'Balance Sheet HISTORICAL'!K24/'Income Statement'!K6</f>
        <v>2.2325662079333872E-2</v>
      </c>
      <c r="J39" s="29">
        <f>'Balance Sheet HISTORICAL'!L24/'Income Statement'!L6</f>
        <v>3.1124884831225396E-2</v>
      </c>
      <c r="K39" s="29">
        <f>'Balance Sheet HISTORICAL'!M24/'Income Statement'!M6</f>
        <v>4.4119365277187468E-2</v>
      </c>
      <c r="M39" s="29">
        <f t="shared" si="37"/>
        <v>3.862336138752543E-2</v>
      </c>
      <c r="N39" s="29">
        <f t="shared" si="38"/>
        <v>3.7258747703660049E-2</v>
      </c>
      <c r="O39" s="29">
        <f t="shared" si="39"/>
        <v>3.2523304062582248E-2</v>
      </c>
      <c r="Q39" s="62">
        <v>0.04</v>
      </c>
      <c r="S39" s="31" t="s">
        <v>123</v>
      </c>
      <c r="T39" s="61">
        <f t="shared" si="40"/>
        <v>0.04</v>
      </c>
      <c r="U39" s="61">
        <f t="shared" si="41"/>
        <v>0.04</v>
      </c>
      <c r="V39" s="61">
        <f t="shared" si="41"/>
        <v>0.04</v>
      </c>
      <c r="W39" s="61">
        <f t="shared" si="41"/>
        <v>0.04</v>
      </c>
      <c r="X39" s="61">
        <f t="shared" si="41"/>
        <v>0.04</v>
      </c>
    </row>
    <row r="40" spans="1:24" ht="25.25" customHeight="1">
      <c r="A40" s="30" t="s">
        <v>111</v>
      </c>
      <c r="B40" s="29">
        <f>'Balance Sheet HISTORICAL'!D27/'Income Statement'!D6</f>
        <v>6.0478646039931246E-3</v>
      </c>
      <c r="C40" s="29">
        <f>'Balance Sheet HISTORICAL'!E27/'Income Statement'!E6</f>
        <v>8.8817085664749003E-3</v>
      </c>
      <c r="D40" s="29">
        <f>'Balance Sheet HISTORICAL'!F27/'Income Statement'!F6</f>
        <v>3.4322717644399824E-3</v>
      </c>
      <c r="E40" s="29">
        <f>'Balance Sheet HISTORICAL'!G27/'Income Statement'!G6</f>
        <v>5.2017291771721194E-3</v>
      </c>
      <c r="F40" s="29">
        <f>'Balance Sheet HISTORICAL'!H27/'Income Statement'!H6</f>
        <v>1.9936222983347111E-3</v>
      </c>
      <c r="G40" s="29">
        <f>'Balance Sheet HISTORICAL'!I27/'Income Statement'!I6</f>
        <v>2.9694147829365139E-3</v>
      </c>
      <c r="H40" s="29">
        <f>'Balance Sheet HISTORICAL'!J27/'Income Statement'!J6</f>
        <v>6.4944510345025391E-4</v>
      </c>
      <c r="I40" s="29">
        <f>'Balance Sheet HISTORICAL'!K27/'Income Statement'!K6</f>
        <v>9.8299988435295474E-5</v>
      </c>
      <c r="J40" s="29">
        <f>'Balance Sheet HISTORICAL'!L27/'Income Statement'!L6</f>
        <v>9.1948888330494827E-4</v>
      </c>
      <c r="K40" s="29">
        <f>'Balance Sheet HISTORICAL'!M27/'Income Statement'!M6</f>
        <v>2.6314140718000124E-3</v>
      </c>
      <c r="M40" s="29">
        <f t="shared" si="37"/>
        <v>3.2825259240341865E-3</v>
      </c>
      <c r="N40" s="29">
        <f t="shared" si="38"/>
        <v>1.4536125659854048E-3</v>
      </c>
      <c r="O40" s="29">
        <f t="shared" si="39"/>
        <v>1.2164009811800854E-3</v>
      </c>
      <c r="Q40" s="62">
        <v>1E-3</v>
      </c>
      <c r="S40" s="27" t="s">
        <v>124</v>
      </c>
      <c r="T40" s="61">
        <f t="shared" si="40"/>
        <v>1E-3</v>
      </c>
      <c r="U40" s="61">
        <f t="shared" si="41"/>
        <v>1E-3</v>
      </c>
      <c r="V40" s="61">
        <f t="shared" si="41"/>
        <v>1E-3</v>
      </c>
      <c r="W40" s="61">
        <f t="shared" si="41"/>
        <v>1E-3</v>
      </c>
      <c r="X40" s="61">
        <f t="shared" si="41"/>
        <v>1E-3</v>
      </c>
    </row>
    <row r="41" spans="1:24" ht="25.25" customHeight="1"/>
    <row r="42" spans="1:24" ht="25.25" customHeight="1">
      <c r="A42" s="35" t="s">
        <v>112</v>
      </c>
    </row>
    <row r="43" spans="1:24" ht="25.25" customHeight="1">
      <c r="A43" s="30" t="s">
        <v>166</v>
      </c>
      <c r="B43" s="40">
        <f>'Balance Sheet HISTORICAL'!D31</f>
        <v>23145</v>
      </c>
      <c r="C43" s="40">
        <f>'Balance Sheet HISTORICAL'!E31</f>
        <v>16365</v>
      </c>
      <c r="D43" s="40">
        <f>'Balance Sheet HISTORICAL'!F31</f>
        <v>18949</v>
      </c>
      <c r="E43" s="40">
        <f>'Balance Sheet HISTORICAL'!G31</f>
        <v>11050</v>
      </c>
      <c r="F43" s="40">
        <f>'Balance Sheet HISTORICAL'!H31</f>
        <v>11688</v>
      </c>
      <c r="G43" s="40">
        <f>'Balance Sheet HISTORICAL'!I31</f>
        <v>11291</v>
      </c>
      <c r="H43" s="40">
        <f>'Balance Sheet HISTORICAL'!J31</f>
        <v>10401</v>
      </c>
      <c r="I43" s="40">
        <f>'Balance Sheet HISTORICAL'!K31</f>
        <v>10528</v>
      </c>
      <c r="J43" s="40">
        <f>'Balance Sheet HISTORICAL'!L31</f>
        <v>10305</v>
      </c>
      <c r="K43" s="40">
        <f>'Balance Sheet HISTORICAL'!M31</f>
        <v>9066</v>
      </c>
      <c r="M43" s="29" t="e">
        <f>NA()</f>
        <v>#N/A</v>
      </c>
      <c r="N43" s="29" t="e">
        <f>NA()</f>
        <v>#N/A</v>
      </c>
      <c r="O43" s="29" t="e">
        <f>NA()</f>
        <v>#N/A</v>
      </c>
      <c r="Q43" s="40">
        <f>K43</f>
        <v>9066</v>
      </c>
      <c r="S43" s="31" t="s">
        <v>158</v>
      </c>
      <c r="T43" s="40">
        <f t="shared" ref="T43:T45" si="42">Q43</f>
        <v>9066</v>
      </c>
      <c r="U43" s="40">
        <f t="shared" ref="U43:X43" si="43">T43</f>
        <v>9066</v>
      </c>
      <c r="V43" s="40">
        <f t="shared" si="43"/>
        <v>9066</v>
      </c>
      <c r="W43" s="40">
        <f t="shared" si="43"/>
        <v>9066</v>
      </c>
      <c r="X43" s="40">
        <f t="shared" si="43"/>
        <v>9066</v>
      </c>
    </row>
    <row r="44" spans="1:24" ht="25.25" customHeight="1">
      <c r="A44" s="30" t="s">
        <v>167</v>
      </c>
      <c r="B44" s="40">
        <f>'Balance Sheet HISTORICAL'!D32</f>
        <v>0</v>
      </c>
      <c r="C44" s="40">
        <f>'Balance Sheet HISTORICAL'!E32</f>
        <v>0</v>
      </c>
      <c r="D44" s="40">
        <f>'Balance Sheet HISTORICAL'!F32</f>
        <v>0</v>
      </c>
      <c r="E44" s="40">
        <f>'Balance Sheet HISTORICAL'!G32</f>
        <v>0</v>
      </c>
      <c r="F44" s="40">
        <f>'Balance Sheet HISTORICAL'!H32</f>
        <v>0</v>
      </c>
      <c r="G44" s="40">
        <f>'Balance Sheet HISTORICAL'!I32</f>
        <v>6520</v>
      </c>
      <c r="H44" s="40">
        <f>'Balance Sheet HISTORICAL'!J32</f>
        <v>7062</v>
      </c>
      <c r="I44" s="40">
        <f>'Balance Sheet HISTORICAL'!K32</f>
        <v>5999</v>
      </c>
      <c r="J44" s="40">
        <f>'Balance Sheet HISTORICAL'!L32</f>
        <v>5832</v>
      </c>
      <c r="K44" s="40">
        <f>'Balance Sheet HISTORICAL'!M32</f>
        <v>5904</v>
      </c>
      <c r="M44" s="29" t="e">
        <f>NA()</f>
        <v>#N/A</v>
      </c>
      <c r="N44" s="29" t="e">
        <f>NA()</f>
        <v>#N/A</v>
      </c>
      <c r="O44" s="29" t="e">
        <f>NA()</f>
        <v>#N/A</v>
      </c>
      <c r="Q44" s="40">
        <f>K44</f>
        <v>5904</v>
      </c>
      <c r="S44" s="31" t="s">
        <v>158</v>
      </c>
      <c r="T44" s="40">
        <f t="shared" si="42"/>
        <v>5904</v>
      </c>
      <c r="U44" s="40">
        <f t="shared" ref="U44:X45" si="44">T44</f>
        <v>5904</v>
      </c>
      <c r="V44" s="40">
        <f t="shared" si="44"/>
        <v>5904</v>
      </c>
      <c r="W44" s="40">
        <f t="shared" si="44"/>
        <v>5904</v>
      </c>
      <c r="X44" s="40">
        <f t="shared" si="44"/>
        <v>5904</v>
      </c>
    </row>
    <row r="45" spans="1:24" ht="25.25" customHeight="1">
      <c r="A45" s="30" t="s">
        <v>113</v>
      </c>
      <c r="B45" s="29">
        <f>'Balance Sheet HISTORICAL'!D33/'Income Statement'!D6</f>
        <v>6.0346423376966812E-3</v>
      </c>
      <c r="C45" s="29">
        <f>'Balance Sheet HISTORICAL'!E33/'Income Statement'!E6</f>
        <v>5.8160611553313892E-3</v>
      </c>
      <c r="D45" s="29">
        <f>'Balance Sheet HISTORICAL'!F33/'Income Statement'!F6</f>
        <v>5.1457795672078758E-3</v>
      </c>
      <c r="E45" s="29">
        <f>'Balance Sheet HISTORICAL'!G33/'Income Statement'!G6</f>
        <v>4.4477844305514077E-3</v>
      </c>
      <c r="F45" s="29">
        <f>'Balance Sheet HISTORICAL'!H33/'Income Statement'!H6</f>
        <v>2.5246250147631984E-2</v>
      </c>
      <c r="G45" s="29">
        <f>'Balance Sheet HISTORICAL'!I33/'Income Statement'!I6</f>
        <v>2.765986614377549E-2</v>
      </c>
      <c r="H45" s="29">
        <f>'Balance Sheet HISTORICAL'!J33/'Income Statement'!J6</f>
        <v>2.3523434314876392E-2</v>
      </c>
      <c r="I45" s="29">
        <f>'Balance Sheet HISTORICAL'!K33/'Income Statement'!K6</f>
        <v>2.1558536679387841E-2</v>
      </c>
      <c r="J45" s="29">
        <f>'Balance Sheet HISTORICAL'!L33/'Income Statement'!L6</f>
        <v>2.4319922569357194E-2</v>
      </c>
      <c r="K45" s="29">
        <f>'Balance Sheet HISTORICAL'!M33/'Income Statement'!M6</f>
        <v>2.3818191978081708E-2</v>
      </c>
      <c r="M45" s="29">
        <f t="shared" ref="M45" si="45">AVERAGE(B45:K45)</f>
        <v>1.6757046932389795E-2</v>
      </c>
      <c r="N45" s="29">
        <f t="shared" ref="N45" si="46">AVERAGE(G45:K45)</f>
        <v>2.4175990337095728E-2</v>
      </c>
      <c r="O45" s="29">
        <f t="shared" ref="O45" si="47">AVERAGE(I45:K45)</f>
        <v>2.3232217075608918E-2</v>
      </c>
      <c r="Q45" s="62">
        <v>2.4E-2</v>
      </c>
      <c r="S45" s="27" t="s">
        <v>125</v>
      </c>
      <c r="T45" s="61">
        <f t="shared" si="42"/>
        <v>2.4E-2</v>
      </c>
      <c r="U45" s="61">
        <f t="shared" si="44"/>
        <v>2.4E-2</v>
      </c>
      <c r="V45" s="61">
        <f t="shared" si="44"/>
        <v>2.4E-2</v>
      </c>
      <c r="W45" s="61">
        <f t="shared" si="44"/>
        <v>2.4E-2</v>
      </c>
      <c r="X45" s="61">
        <f t="shared" si="44"/>
        <v>2.4E-2</v>
      </c>
    </row>
    <row r="46" spans="1:24" ht="25.25" customHeight="1"/>
    <row r="47" spans="1:24" ht="25.25" customHeight="1">
      <c r="A47" s="23" t="s">
        <v>114</v>
      </c>
    </row>
    <row r="48" spans="1:24" ht="25.25" customHeight="1">
      <c r="A48" s="30" t="s">
        <v>30</v>
      </c>
      <c r="B48" s="39">
        <f>'Balance Sheet HISTORICAL'!D37</f>
        <v>20</v>
      </c>
      <c r="C48" s="39">
        <f>'Balance Sheet HISTORICAL'!E37</f>
        <v>20</v>
      </c>
      <c r="D48" s="39">
        <f>'Balance Sheet HISTORICAL'!F37</f>
        <v>20</v>
      </c>
      <c r="E48" s="39">
        <f>'Balance Sheet HISTORICAL'!G37</f>
        <v>20</v>
      </c>
      <c r="F48" s="39">
        <f>'Balance Sheet HISTORICAL'!H37</f>
        <v>20</v>
      </c>
      <c r="G48" s="39">
        <f>'Balance Sheet HISTORICAL'!I37</f>
        <v>20</v>
      </c>
      <c r="H48" s="39">
        <f>'Balance Sheet HISTORICAL'!J37</f>
        <v>20</v>
      </c>
      <c r="I48" s="39">
        <f>'Balance Sheet HISTORICAL'!K37</f>
        <v>20</v>
      </c>
      <c r="J48" s="39">
        <f>'Balance Sheet HISTORICAL'!L37</f>
        <v>20</v>
      </c>
      <c r="K48" s="39">
        <f>'Balance Sheet HISTORICAL'!M37</f>
        <v>20</v>
      </c>
      <c r="M48" s="42" t="s">
        <v>116</v>
      </c>
      <c r="Q48" s="39">
        <f>K48</f>
        <v>20</v>
      </c>
      <c r="S48" s="31" t="s">
        <v>158</v>
      </c>
      <c r="T48" s="39">
        <f t="shared" ref="T48:T51" si="48">Q48</f>
        <v>20</v>
      </c>
      <c r="U48" s="39">
        <f t="shared" ref="U48:X48" si="49">T48</f>
        <v>20</v>
      </c>
      <c r="V48" s="39">
        <f t="shared" si="49"/>
        <v>20</v>
      </c>
      <c r="W48" s="39">
        <f t="shared" si="49"/>
        <v>20</v>
      </c>
      <c r="X48" s="39">
        <f t="shared" si="49"/>
        <v>20</v>
      </c>
    </row>
    <row r="49" spans="1:24" ht="25.25" customHeight="1">
      <c r="A49" s="30" t="s">
        <v>31</v>
      </c>
      <c r="B49" s="40">
        <f>'Balance Sheet HISTORICAL'!D38</f>
        <v>141651</v>
      </c>
      <c r="C49" s="40">
        <f>'Balance Sheet HISTORICAL'!E38</f>
        <v>145936</v>
      </c>
      <c r="D49" s="40">
        <f>'Balance Sheet HISTORICAL'!F38</f>
        <v>150692</v>
      </c>
      <c r="E49" s="40">
        <f>'Balance Sheet HISTORICAL'!G38</f>
        <v>153469</v>
      </c>
      <c r="F49" s="40">
        <f>'Balance Sheet HISTORICAL'!H38</f>
        <v>155132</v>
      </c>
      <c r="G49" s="40">
        <f>'Balance Sheet HISTORICAL'!I38</f>
        <v>157850</v>
      </c>
      <c r="H49" s="40">
        <f>'Balance Sheet HISTORICAL'!J38</f>
        <v>163737</v>
      </c>
      <c r="I49" s="40">
        <f>'Balance Sheet HISTORICAL'!K38</f>
        <v>165973</v>
      </c>
      <c r="J49" s="40">
        <f>'Balance Sheet HISTORICAL'!L38</f>
        <v>171546</v>
      </c>
      <c r="K49" s="40">
        <f>'Balance Sheet HISTORICAL'!M38</f>
        <v>175642</v>
      </c>
      <c r="M49" s="42" t="s">
        <v>116</v>
      </c>
      <c r="Q49" s="40">
        <f>K49</f>
        <v>175642</v>
      </c>
      <c r="S49" s="31" t="s">
        <v>158</v>
      </c>
      <c r="T49" s="40">
        <f t="shared" si="48"/>
        <v>175642</v>
      </c>
      <c r="U49" s="40">
        <f t="shared" ref="U49:X49" si="50">T49</f>
        <v>175642</v>
      </c>
      <c r="V49" s="40">
        <f t="shared" si="50"/>
        <v>175642</v>
      </c>
      <c r="W49" s="40">
        <f t="shared" si="50"/>
        <v>175642</v>
      </c>
      <c r="X49" s="40">
        <f t="shared" si="50"/>
        <v>175642</v>
      </c>
    </row>
    <row r="50" spans="1:24" ht="25.25" customHeight="1">
      <c r="A50" s="30" t="s">
        <v>33</v>
      </c>
      <c r="B50" s="40">
        <f>'Balance Sheet HISTORICAL'!D40</f>
        <v>-8722</v>
      </c>
      <c r="C50" s="40">
        <f>'Balance Sheet HISTORICAL'!E40</f>
        <v>-27298</v>
      </c>
      <c r="D50" s="40">
        <f>'Balance Sheet HISTORICAL'!F40</f>
        <v>-28075</v>
      </c>
      <c r="E50" s="40">
        <f>'Balance Sheet HISTORICAL'!G40</f>
        <v>-27636</v>
      </c>
      <c r="F50" s="40">
        <f>'Balance Sheet HISTORICAL'!H40</f>
        <v>-32482</v>
      </c>
      <c r="G50" s="40">
        <f>'Balance Sheet HISTORICAL'!I40</f>
        <v>-28208</v>
      </c>
      <c r="H50" s="40">
        <f>'Balance Sheet HISTORICAL'!J40</f>
        <v>-26030</v>
      </c>
      <c r="I50" s="40">
        <f>'Balance Sheet HISTORICAL'!K40</f>
        <v>-36209</v>
      </c>
      <c r="J50" s="40">
        <f>'Balance Sheet HISTORICAL'!L40</f>
        <v>-31206</v>
      </c>
      <c r="K50" s="40">
        <f>'Balance Sheet HISTORICAL'!M40</f>
        <v>-29268</v>
      </c>
      <c r="M50" s="42" t="s">
        <v>116</v>
      </c>
      <c r="Q50" s="40">
        <f>K50</f>
        <v>-29268</v>
      </c>
      <c r="S50" s="31" t="s">
        <v>158</v>
      </c>
      <c r="T50" s="40">
        <f t="shared" si="48"/>
        <v>-29268</v>
      </c>
      <c r="U50" s="40">
        <f t="shared" ref="U50:X50" si="51">T50</f>
        <v>-29268</v>
      </c>
      <c r="V50" s="40">
        <f t="shared" si="51"/>
        <v>-29268</v>
      </c>
      <c r="W50" s="40">
        <f t="shared" si="51"/>
        <v>-29268</v>
      </c>
      <c r="X50" s="40">
        <f t="shared" si="51"/>
        <v>-29268</v>
      </c>
    </row>
    <row r="51" spans="1:24" ht="25.25" customHeight="1">
      <c r="A51" s="30" t="s">
        <v>115</v>
      </c>
      <c r="B51" s="41">
        <f>'Balance Sheet HISTORICAL'!D41-'Balance Sheet HISTORICAL'!C41</f>
        <v>-30259</v>
      </c>
      <c r="C51" s="41">
        <f>'Balance Sheet HISTORICAL'!E41-'Balance Sheet HISTORICAL'!D41</f>
        <v>-32131</v>
      </c>
      <c r="D51" s="41">
        <f>'Balance Sheet HISTORICAL'!F41-'Balance Sheet HISTORICAL'!E41</f>
        <v>-31109</v>
      </c>
      <c r="E51" s="41">
        <f>'Balance Sheet HISTORICAL'!G41-'Balance Sheet HISTORICAL'!F41</f>
        <v>-22616</v>
      </c>
      <c r="F51" s="41">
        <f>'Balance Sheet HISTORICAL'!H41-'Balance Sheet HISTORICAL'!G41</f>
        <v>-29625</v>
      </c>
      <c r="G51" s="41">
        <f>'Balance Sheet HISTORICAL'!I41-'Balance Sheet HISTORICAL'!H41</f>
        <v>-16825</v>
      </c>
      <c r="H51" s="41">
        <f>'Balance Sheet HISTORICAL'!J41-'Balance Sheet HISTORICAL'!I41</f>
        <v>0</v>
      </c>
      <c r="I51" s="41">
        <f>'Balance Sheet HISTORICAL'!K41-'Balance Sheet HISTORICAL'!J41</f>
        <v>-29156</v>
      </c>
      <c r="J51" s="41">
        <f>'Balance Sheet HISTORICAL'!L41-'Balance Sheet HISTORICAL'!K41</f>
        <v>-10434</v>
      </c>
      <c r="K51" s="41">
        <f>'Balance Sheet HISTORICAL'!M41-'Balance Sheet HISTORICAL'!L41</f>
        <v>-8129</v>
      </c>
      <c r="M51" s="42" t="s">
        <v>116</v>
      </c>
      <c r="Q51" s="64">
        <v>-7000</v>
      </c>
      <c r="S51" s="31" t="s">
        <v>126</v>
      </c>
      <c r="T51" s="40">
        <f t="shared" si="48"/>
        <v>-7000</v>
      </c>
      <c r="U51" s="63">
        <v>0</v>
      </c>
      <c r="V51" s="63">
        <v>0</v>
      </c>
      <c r="W51" s="63">
        <v>0</v>
      </c>
      <c r="X51" s="63">
        <v>0</v>
      </c>
    </row>
    <row r="52" spans="1:24" ht="25.25" customHeight="1"/>
    <row r="53" spans="1:24" ht="25.25" customHeight="1">
      <c r="A53" s="23" t="s">
        <v>180</v>
      </c>
    </row>
    <row r="54" spans="1:24" ht="25.25" customHeight="1">
      <c r="A54" s="30" t="s">
        <v>187</v>
      </c>
      <c r="T54" s="70">
        <f>5.4%+1%</f>
        <v>6.4000000000000001E-2</v>
      </c>
      <c r="U54" s="71">
        <f>T54</f>
        <v>6.4000000000000001E-2</v>
      </c>
      <c r="V54" s="71">
        <f t="shared" ref="V54:X54" si="52">U54</f>
        <v>6.4000000000000001E-2</v>
      </c>
      <c r="W54" s="71">
        <f t="shared" si="52"/>
        <v>6.4000000000000001E-2</v>
      </c>
      <c r="X54" s="71">
        <f t="shared" si="52"/>
        <v>6.4000000000000001E-2</v>
      </c>
    </row>
    <row r="55" spans="1:24" ht="25.25" customHeight="1">
      <c r="A55" s="30" t="s">
        <v>174</v>
      </c>
      <c r="T55" s="70">
        <v>3.39E-2</v>
      </c>
      <c r="U55" s="71">
        <f t="shared" ref="U55:X55" si="53">T55</f>
        <v>3.39E-2</v>
      </c>
      <c r="V55" s="71">
        <f t="shared" si="53"/>
        <v>3.39E-2</v>
      </c>
      <c r="W55" s="71">
        <f t="shared" si="53"/>
        <v>3.39E-2</v>
      </c>
      <c r="X55" s="71">
        <f t="shared" si="53"/>
        <v>3.39E-2</v>
      </c>
    </row>
    <row r="56" spans="1:24" ht="25.25" customHeight="1">
      <c r="A56" s="30" t="s">
        <v>175</v>
      </c>
      <c r="T56" s="70">
        <v>2.5000000000000001E-2</v>
      </c>
      <c r="U56" s="71">
        <f t="shared" ref="U56:X56" si="54">T56</f>
        <v>2.5000000000000001E-2</v>
      </c>
      <c r="V56" s="71">
        <f t="shared" si="54"/>
        <v>2.5000000000000001E-2</v>
      </c>
      <c r="W56" s="71">
        <f t="shared" si="54"/>
        <v>2.5000000000000001E-2</v>
      </c>
      <c r="X56" s="71">
        <f t="shared" si="54"/>
        <v>2.5000000000000001E-2</v>
      </c>
    </row>
    <row r="57" spans="1:24" ht="25.25" customHeight="1">
      <c r="A57" s="30" t="s">
        <v>176</v>
      </c>
      <c r="T57" s="70">
        <v>2.69E-2</v>
      </c>
      <c r="U57" s="71">
        <f t="shared" ref="U57:X57" si="55">T57</f>
        <v>2.69E-2</v>
      </c>
      <c r="V57" s="71">
        <f t="shared" si="55"/>
        <v>2.69E-2</v>
      </c>
      <c r="W57" s="71">
        <f t="shared" si="55"/>
        <v>2.69E-2</v>
      </c>
      <c r="X57" s="71">
        <f t="shared" si="55"/>
        <v>2.69E-2</v>
      </c>
    </row>
    <row r="58" spans="1:24" ht="25.25" customHeight="1">
      <c r="A58" s="30" t="s">
        <v>188</v>
      </c>
      <c r="T58" s="70">
        <v>4.7500000000000001E-2</v>
      </c>
      <c r="U58" s="71">
        <f t="shared" ref="U58:X58" si="56">T58</f>
        <v>4.7500000000000001E-2</v>
      </c>
      <c r="V58" s="71">
        <f t="shared" si="56"/>
        <v>4.7500000000000001E-2</v>
      </c>
      <c r="W58" s="71">
        <f t="shared" si="56"/>
        <v>4.7500000000000001E-2</v>
      </c>
      <c r="X58" s="71">
        <f t="shared" si="56"/>
        <v>4.7500000000000001E-2</v>
      </c>
    </row>
    <row r="59" spans="1:24" ht="25.25" customHeight="1"/>
    <row r="60" spans="1:24" ht="25.25" customHeight="1"/>
    <row r="61" spans="1:24" ht="25.25" customHeight="1"/>
    <row r="62" spans="1:24" ht="25.25" customHeight="1"/>
    <row r="63" spans="1:24" ht="25.25" customHeight="1"/>
    <row r="64" spans="1:24" ht="25.25" customHeight="1"/>
    <row r="65" ht="25.25" customHeight="1"/>
    <row r="66" ht="25.25" customHeight="1"/>
    <row r="67" ht="25.25" customHeight="1"/>
    <row r="68" ht="25.25" customHeight="1"/>
    <row r="69" ht="25.25" customHeight="1"/>
    <row r="70" ht="25.25" customHeight="1"/>
  </sheetData>
  <pageMargins left="0.7" right="0.7" top="0.75" bottom="0.75" header="0.3" footer="0.3"/>
  <pageSetup scale="35" orientation="portrait" r:id="rId1"/>
  <ignoredErrors>
    <ignoredError sqref="B22:K22" formulaRange="1"/>
    <ignoredError sqref="M30:O30"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3751-FF36-4FD6-926C-57F08293B051}">
  <dimension ref="A1:I69"/>
  <sheetViews>
    <sheetView zoomScale="145" zoomScaleNormal="145" workbookViewId="0">
      <pane xSplit="1" ySplit="5" topLeftCell="B6" activePane="bottomRight" state="frozen"/>
      <selection pane="topRight" activeCell="B1" sqref="B1"/>
      <selection pane="bottomLeft" activeCell="A6" sqref="A6"/>
      <selection pane="bottomRight" activeCell="B6" sqref="B6"/>
    </sheetView>
  </sheetViews>
  <sheetFormatPr baseColWidth="10" defaultColWidth="8.625" defaultRowHeight="14"/>
  <cols>
    <col min="1" max="1" width="24.875" bestFit="1" customWidth="1"/>
    <col min="4" max="4" width="9.375" bestFit="1" customWidth="1"/>
    <col min="5" max="5" width="9.625" bestFit="1" customWidth="1"/>
  </cols>
  <sheetData>
    <row r="1" spans="1:9" ht="30">
      <c r="A1" s="4" t="s">
        <v>177</v>
      </c>
      <c r="B1" s="5"/>
      <c r="C1" s="5"/>
      <c r="D1" s="5"/>
      <c r="E1" s="5"/>
      <c r="F1" s="5"/>
      <c r="G1" s="5"/>
      <c r="H1" s="5"/>
      <c r="I1" s="5"/>
    </row>
    <row r="2" spans="1:9">
      <c r="A2" s="6" t="s">
        <v>5</v>
      </c>
    </row>
    <row r="3" spans="1:9" ht="15" thickBot="1"/>
    <row r="4" spans="1:9" ht="15" thickBot="1">
      <c r="B4" s="54" t="s">
        <v>172</v>
      </c>
      <c r="C4" s="55"/>
      <c r="D4" s="56"/>
      <c r="E4" s="54" t="s">
        <v>173</v>
      </c>
      <c r="F4" s="55"/>
      <c r="G4" s="55"/>
      <c r="H4" s="55"/>
      <c r="I4" s="56"/>
    </row>
    <row r="5" spans="1:9" ht="15" thickBot="1">
      <c r="B5" s="58">
        <v>44804</v>
      </c>
      <c r="C5" s="58">
        <v>45169</v>
      </c>
      <c r="D5" s="58">
        <v>45535</v>
      </c>
      <c r="E5" s="58">
        <v>45900</v>
      </c>
      <c r="F5" s="58">
        <v>46265</v>
      </c>
      <c r="G5" s="58">
        <v>46630</v>
      </c>
      <c r="H5" s="58">
        <v>46996</v>
      </c>
      <c r="I5" s="58">
        <v>47361</v>
      </c>
    </row>
    <row r="6" spans="1:9" ht="15" thickBot="1">
      <c r="A6" s="69" t="s">
        <v>178</v>
      </c>
      <c r="B6" s="68"/>
      <c r="C6" s="59"/>
      <c r="D6" s="60"/>
      <c r="E6" s="59"/>
      <c r="F6" s="59"/>
      <c r="G6" s="59"/>
      <c r="H6" s="59"/>
      <c r="I6" s="59"/>
    </row>
    <row r="7" spans="1:9">
      <c r="A7" s="1" t="s">
        <v>179</v>
      </c>
      <c r="D7" s="64">
        <v>0</v>
      </c>
      <c r="E7" s="39">
        <f ca="1">'Balance Sheet PROJECTED'!N27</f>
        <v>0</v>
      </c>
      <c r="F7" s="39">
        <f ca="1">'Balance Sheet PROJECTED'!O27</f>
        <v>0</v>
      </c>
      <c r="G7" s="39">
        <f ca="1">'Balance Sheet PROJECTED'!P27</f>
        <v>0</v>
      </c>
      <c r="H7" s="39">
        <f ca="1">'Balance Sheet PROJECTED'!Q27</f>
        <v>0</v>
      </c>
      <c r="I7" s="39">
        <f ca="1">'Balance Sheet PROJECTED'!R27</f>
        <v>0</v>
      </c>
    </row>
    <row r="9" spans="1:9" ht="18" customHeight="1">
      <c r="A9" s="30" t="s">
        <v>180</v>
      </c>
      <c r="E9" s="71">
        <f>Assumptions!T54</f>
        <v>6.4000000000000001E-2</v>
      </c>
      <c r="F9" s="71">
        <f>Assumptions!U54</f>
        <v>6.4000000000000001E-2</v>
      </c>
      <c r="G9" s="71">
        <f>Assumptions!V54</f>
        <v>6.4000000000000001E-2</v>
      </c>
      <c r="H9" s="71">
        <f>Assumptions!W54</f>
        <v>6.4000000000000001E-2</v>
      </c>
      <c r="I9" s="71">
        <f>Assumptions!X54</f>
        <v>6.4000000000000001E-2</v>
      </c>
    </row>
    <row r="11" spans="1:9" ht="18" customHeight="1">
      <c r="A11" s="30" t="s">
        <v>181</v>
      </c>
      <c r="E11" s="72">
        <f ca="1">AVERAGE(D7:E7)</f>
        <v>0</v>
      </c>
      <c r="F11" s="72">
        <f t="shared" ref="F11:I11" ca="1" si="0">AVERAGE(E7:F7)</f>
        <v>0</v>
      </c>
      <c r="G11" s="72">
        <f t="shared" ca="1" si="0"/>
        <v>0</v>
      </c>
      <c r="H11" s="72">
        <f t="shared" ca="1" si="0"/>
        <v>0</v>
      </c>
      <c r="I11" s="72">
        <f t="shared" ca="1" si="0"/>
        <v>0</v>
      </c>
    </row>
    <row r="12" spans="1:9" ht="18" customHeight="1">
      <c r="A12" s="30" t="s">
        <v>182</v>
      </c>
      <c r="E12" s="41">
        <f ca="1">E9*E11</f>
        <v>0</v>
      </c>
      <c r="F12" s="41">
        <f t="shared" ref="F12:I12" ca="1" si="1">F9*F11</f>
        <v>0</v>
      </c>
      <c r="G12" s="41">
        <f t="shared" ca="1" si="1"/>
        <v>0</v>
      </c>
      <c r="H12" s="41">
        <f t="shared" ca="1" si="1"/>
        <v>0</v>
      </c>
      <c r="I12" s="41">
        <f t="shared" ca="1" si="1"/>
        <v>0</v>
      </c>
    </row>
    <row r="13" spans="1:9" ht="15" thickBot="1"/>
    <row r="14" spans="1:9" ht="15" thickBot="1">
      <c r="A14" s="69" t="s">
        <v>183</v>
      </c>
    </row>
    <row r="15" spans="1:9" ht="18" customHeight="1">
      <c r="A15" s="30" t="s">
        <v>184</v>
      </c>
      <c r="E15" s="39">
        <f>D17</f>
        <v>27836</v>
      </c>
      <c r="F15" s="39">
        <f t="shared" ref="F15:I15" si="2">E17</f>
        <v>22268.799999999999</v>
      </c>
      <c r="G15" s="39">
        <f t="shared" si="2"/>
        <v>16701.599999999999</v>
      </c>
      <c r="H15" s="39">
        <f t="shared" si="2"/>
        <v>11134.399999999998</v>
      </c>
      <c r="I15" s="39">
        <f t="shared" si="2"/>
        <v>5567.199999999998</v>
      </c>
    </row>
    <row r="16" spans="1:9" ht="18" customHeight="1">
      <c r="A16" s="30" t="s">
        <v>185</v>
      </c>
      <c r="E16" s="73">
        <f>$D$17/5</f>
        <v>5567.2</v>
      </c>
      <c r="F16" s="73">
        <f t="shared" ref="F16:I16" si="3">$D$17/5</f>
        <v>5567.2</v>
      </c>
      <c r="G16" s="73">
        <f t="shared" si="3"/>
        <v>5567.2</v>
      </c>
      <c r="H16" s="73">
        <f t="shared" si="3"/>
        <v>5567.2</v>
      </c>
      <c r="I16" s="73">
        <f t="shared" si="3"/>
        <v>5567.2</v>
      </c>
    </row>
    <row r="17" spans="1:9">
      <c r="A17" s="42" t="s">
        <v>186</v>
      </c>
      <c r="D17" s="39">
        <f>'Balance Sheet PROJECTED'!M30</f>
        <v>27836</v>
      </c>
      <c r="E17" s="13">
        <f>E15-E16</f>
        <v>22268.799999999999</v>
      </c>
      <c r="F17" s="13">
        <f t="shared" ref="F17:I17" si="4">F15-F16</f>
        <v>16701.599999999999</v>
      </c>
      <c r="G17" s="13">
        <f t="shared" si="4"/>
        <v>11134.399999999998</v>
      </c>
      <c r="H17" s="13">
        <f t="shared" si="4"/>
        <v>5567.199999999998</v>
      </c>
      <c r="I17" s="13">
        <f t="shared" si="4"/>
        <v>0</v>
      </c>
    </row>
    <row r="19" spans="1:9" ht="18" customHeight="1">
      <c r="A19" s="30" t="s">
        <v>180</v>
      </c>
      <c r="E19" s="71">
        <f>Assumptions!T54</f>
        <v>6.4000000000000001E-2</v>
      </c>
      <c r="F19" s="71">
        <f>Assumptions!U54</f>
        <v>6.4000000000000001E-2</v>
      </c>
      <c r="G19" s="71">
        <f>Assumptions!V54</f>
        <v>6.4000000000000001E-2</v>
      </c>
      <c r="H19" s="71">
        <f>Assumptions!W54</f>
        <v>6.4000000000000001E-2</v>
      </c>
      <c r="I19" s="71">
        <f>Assumptions!X54</f>
        <v>6.4000000000000001E-2</v>
      </c>
    </row>
    <row r="21" spans="1:9" ht="18" customHeight="1">
      <c r="A21" s="30" t="s">
        <v>181</v>
      </c>
      <c r="E21" s="72">
        <f>AVERAGE(D17:E17)</f>
        <v>25052.400000000001</v>
      </c>
      <c r="F21" s="72">
        <f t="shared" ref="F21:I21" si="5">AVERAGE(E17:F17)</f>
        <v>19485.199999999997</v>
      </c>
      <c r="G21" s="72">
        <f t="shared" si="5"/>
        <v>13917.999999999998</v>
      </c>
      <c r="H21" s="72">
        <f t="shared" si="5"/>
        <v>8350.7999999999975</v>
      </c>
      <c r="I21" s="72">
        <f t="shared" si="5"/>
        <v>2783.599999999999</v>
      </c>
    </row>
    <row r="22" spans="1:9" ht="18" customHeight="1">
      <c r="A22" s="30" t="s">
        <v>182</v>
      </c>
      <c r="E22" s="41">
        <f>E19*E21</f>
        <v>1603.3536000000001</v>
      </c>
      <c r="F22" s="41">
        <f t="shared" ref="F22:I22" si="6">F19*F21</f>
        <v>1247.0527999999999</v>
      </c>
      <c r="G22" s="41">
        <f t="shared" si="6"/>
        <v>890.75199999999995</v>
      </c>
      <c r="H22" s="41">
        <f t="shared" si="6"/>
        <v>534.45119999999986</v>
      </c>
      <c r="I22" s="41">
        <f t="shared" si="6"/>
        <v>178.15039999999993</v>
      </c>
    </row>
    <row r="24" spans="1:9" ht="18" customHeight="1">
      <c r="A24" s="30" t="s">
        <v>189</v>
      </c>
      <c r="E24" s="39">
        <f>D26</f>
        <v>14800</v>
      </c>
      <c r="F24" s="39">
        <f t="shared" ref="F24:I24" si="7">E26</f>
        <v>14000</v>
      </c>
      <c r="G24" s="39">
        <f t="shared" si="7"/>
        <v>13200</v>
      </c>
      <c r="H24" s="39">
        <f t="shared" si="7"/>
        <v>12400</v>
      </c>
      <c r="I24" s="39">
        <f t="shared" si="7"/>
        <v>11600</v>
      </c>
    </row>
    <row r="25" spans="1:9" ht="18" customHeight="1">
      <c r="A25" s="30" t="s">
        <v>190</v>
      </c>
      <c r="E25" s="63">
        <v>800</v>
      </c>
      <c r="F25" s="63">
        <v>800</v>
      </c>
      <c r="G25" s="63">
        <v>800</v>
      </c>
      <c r="H25" s="63">
        <v>800</v>
      </c>
      <c r="I25" s="63">
        <v>800</v>
      </c>
    </row>
    <row r="26" spans="1:9" ht="18" customHeight="1">
      <c r="A26" s="42" t="s">
        <v>191</v>
      </c>
      <c r="D26" s="39">
        <f>'Balance Sheet PROJECTED'!M31</f>
        <v>14800</v>
      </c>
      <c r="E26" s="13">
        <f>E24-E25</f>
        <v>14000</v>
      </c>
      <c r="F26" s="13">
        <f t="shared" ref="F26:I26" si="8">F24-F25</f>
        <v>13200</v>
      </c>
      <c r="G26" s="13">
        <f t="shared" si="8"/>
        <v>12400</v>
      </c>
      <c r="H26" s="13">
        <f t="shared" si="8"/>
        <v>11600</v>
      </c>
      <c r="I26" s="13">
        <f t="shared" si="8"/>
        <v>10800</v>
      </c>
    </row>
    <row r="28" spans="1:9" ht="18" customHeight="1">
      <c r="A28" s="30" t="s">
        <v>180</v>
      </c>
      <c r="E28" s="71">
        <f>Assumptions!T55</f>
        <v>3.39E-2</v>
      </c>
      <c r="F28" s="71">
        <f>Assumptions!U55</f>
        <v>3.39E-2</v>
      </c>
      <c r="G28" s="71">
        <f>Assumptions!V55</f>
        <v>3.39E-2</v>
      </c>
      <c r="H28" s="71">
        <f>Assumptions!W55</f>
        <v>3.39E-2</v>
      </c>
      <c r="I28" s="71">
        <f>Assumptions!X55</f>
        <v>3.39E-2</v>
      </c>
    </row>
    <row r="30" spans="1:9" ht="18" customHeight="1">
      <c r="A30" s="30" t="s">
        <v>181</v>
      </c>
      <c r="E30" s="72">
        <f>AVERAGE(D26:E26)</f>
        <v>14400</v>
      </c>
      <c r="F30" s="72">
        <f t="shared" ref="F30:I30" si="9">AVERAGE(E26:F26)</f>
        <v>13600</v>
      </c>
      <c r="G30" s="72">
        <f t="shared" si="9"/>
        <v>12800</v>
      </c>
      <c r="H30" s="72">
        <f t="shared" si="9"/>
        <v>12000</v>
      </c>
      <c r="I30" s="72">
        <f t="shared" si="9"/>
        <v>11200</v>
      </c>
    </row>
    <row r="31" spans="1:9" ht="18" customHeight="1">
      <c r="A31" s="30" t="s">
        <v>182</v>
      </c>
      <c r="E31" s="41">
        <f>E28*E30</f>
        <v>488.15999999999997</v>
      </c>
      <c r="F31" s="41">
        <f t="shared" ref="F31:I31" si="10">F28*F30</f>
        <v>461.04</v>
      </c>
      <c r="G31" s="41">
        <f t="shared" si="10"/>
        <v>433.92</v>
      </c>
      <c r="H31" s="41">
        <f t="shared" si="10"/>
        <v>406.8</v>
      </c>
      <c r="I31" s="41">
        <f t="shared" si="10"/>
        <v>379.68</v>
      </c>
    </row>
    <row r="33" spans="1:9" ht="18" customHeight="1">
      <c r="A33" s="30" t="s">
        <v>192</v>
      </c>
      <c r="E33" s="39">
        <f>D35</f>
        <v>26000</v>
      </c>
      <c r="F33" s="39">
        <f t="shared" ref="F33:H33" si="11">E35</f>
        <v>26000</v>
      </c>
      <c r="G33" s="39">
        <f t="shared" si="11"/>
        <v>26000</v>
      </c>
      <c r="H33" s="39">
        <f t="shared" si="11"/>
        <v>26000</v>
      </c>
      <c r="I33" s="39">
        <f t="shared" ref="I33" si="12">H35</f>
        <v>0</v>
      </c>
    </row>
    <row r="34" spans="1:9" ht="18" customHeight="1">
      <c r="A34" s="30" t="s">
        <v>193</v>
      </c>
      <c r="E34" s="63">
        <v>0</v>
      </c>
      <c r="F34" s="63">
        <v>0</v>
      </c>
      <c r="G34" s="63">
        <v>0</v>
      </c>
      <c r="H34" s="40">
        <f>H33</f>
        <v>26000</v>
      </c>
      <c r="I34" s="63">
        <v>0</v>
      </c>
    </row>
    <row r="35" spans="1:9" ht="18" customHeight="1">
      <c r="A35" s="42" t="s">
        <v>194</v>
      </c>
      <c r="D35" s="39">
        <f>'Balance Sheet PROJECTED'!M32</f>
        <v>26000</v>
      </c>
      <c r="E35" s="13">
        <f>E33-E34</f>
        <v>26000</v>
      </c>
      <c r="F35" s="13">
        <f t="shared" ref="F35:I35" si="13">F33-F34</f>
        <v>26000</v>
      </c>
      <c r="G35" s="13">
        <f t="shared" si="13"/>
        <v>26000</v>
      </c>
      <c r="H35" s="13">
        <f t="shared" si="13"/>
        <v>0</v>
      </c>
      <c r="I35" s="13">
        <f t="shared" si="13"/>
        <v>0</v>
      </c>
    </row>
    <row r="37" spans="1:9" ht="18" customHeight="1">
      <c r="A37" s="30" t="s">
        <v>180</v>
      </c>
      <c r="E37" s="71">
        <f>Assumptions!T56</f>
        <v>2.5000000000000001E-2</v>
      </c>
      <c r="F37" s="71">
        <f>Assumptions!U56</f>
        <v>2.5000000000000001E-2</v>
      </c>
      <c r="G37" s="71">
        <f>Assumptions!V56</f>
        <v>2.5000000000000001E-2</v>
      </c>
      <c r="H37" s="71">
        <f>Assumptions!W56</f>
        <v>2.5000000000000001E-2</v>
      </c>
      <c r="I37" s="71">
        <f>Assumptions!X56</f>
        <v>2.5000000000000001E-2</v>
      </c>
    </row>
    <row r="39" spans="1:9" ht="18" customHeight="1">
      <c r="A39" s="30" t="s">
        <v>181</v>
      </c>
      <c r="E39" s="72">
        <f>AVERAGE(D35:E35)</f>
        <v>26000</v>
      </c>
      <c r="F39" s="72">
        <f t="shared" ref="F39:H39" si="14">AVERAGE(E35:F35)</f>
        <v>26000</v>
      </c>
      <c r="G39" s="72">
        <f t="shared" si="14"/>
        <v>26000</v>
      </c>
      <c r="H39" s="72">
        <f t="shared" si="14"/>
        <v>13000</v>
      </c>
      <c r="I39" s="72">
        <f t="shared" ref="I39" si="15">AVERAGE(H35:I35)</f>
        <v>0</v>
      </c>
    </row>
    <row r="40" spans="1:9" ht="18" customHeight="1">
      <c r="A40" s="30" t="s">
        <v>182</v>
      </c>
      <c r="E40" s="41">
        <f>E37*E39</f>
        <v>650</v>
      </c>
      <c r="F40" s="41">
        <f t="shared" ref="F40:I40" si="16">F37*F39</f>
        <v>650</v>
      </c>
      <c r="G40" s="41">
        <f t="shared" si="16"/>
        <v>650</v>
      </c>
      <c r="H40" s="41">
        <f t="shared" si="16"/>
        <v>325</v>
      </c>
      <c r="I40" s="41">
        <f t="shared" si="16"/>
        <v>0</v>
      </c>
    </row>
    <row r="42" spans="1:9" ht="18" customHeight="1">
      <c r="A42" s="30" t="s">
        <v>195</v>
      </c>
      <c r="E42" s="39">
        <f>D44</f>
        <v>26000</v>
      </c>
      <c r="F42" s="39">
        <f t="shared" ref="F42:I42" si="17">E44</f>
        <v>26000</v>
      </c>
      <c r="G42" s="39">
        <f t="shared" si="17"/>
        <v>26000</v>
      </c>
      <c r="H42" s="39">
        <f t="shared" si="17"/>
        <v>26000</v>
      </c>
      <c r="I42" s="39">
        <f t="shared" si="17"/>
        <v>26000</v>
      </c>
    </row>
    <row r="43" spans="1:9" ht="18" customHeight="1">
      <c r="A43" s="30" t="s">
        <v>196</v>
      </c>
      <c r="E43" s="63">
        <v>0</v>
      </c>
      <c r="F43" s="63">
        <v>0</v>
      </c>
      <c r="G43" s="63">
        <v>0</v>
      </c>
      <c r="H43" s="63">
        <v>0</v>
      </c>
      <c r="I43" s="63">
        <v>0</v>
      </c>
    </row>
    <row r="44" spans="1:9" ht="18" customHeight="1">
      <c r="A44" s="42" t="s">
        <v>197</v>
      </c>
      <c r="D44" s="39">
        <f>'Balance Sheet PROJECTED'!M33</f>
        <v>26000</v>
      </c>
      <c r="E44" s="13">
        <f>E42-E43</f>
        <v>26000</v>
      </c>
      <c r="F44" s="13">
        <f t="shared" ref="F44:I44" si="18">F42-F43</f>
        <v>26000</v>
      </c>
      <c r="G44" s="13">
        <f t="shared" si="18"/>
        <v>26000</v>
      </c>
      <c r="H44" s="13">
        <f t="shared" si="18"/>
        <v>26000</v>
      </c>
      <c r="I44" s="13">
        <f t="shared" si="18"/>
        <v>26000</v>
      </c>
    </row>
    <row r="46" spans="1:9" ht="18" customHeight="1">
      <c r="A46" s="30" t="s">
        <v>180</v>
      </c>
      <c r="E46" s="71">
        <f>Assumptions!T57</f>
        <v>2.69E-2</v>
      </c>
      <c r="F46" s="71">
        <f>Assumptions!U57</f>
        <v>2.69E-2</v>
      </c>
      <c r="G46" s="71">
        <f>Assumptions!V57</f>
        <v>2.69E-2</v>
      </c>
      <c r="H46" s="71">
        <f>Assumptions!W57</f>
        <v>2.69E-2</v>
      </c>
      <c r="I46" s="71">
        <f>Assumptions!X57</f>
        <v>2.69E-2</v>
      </c>
    </row>
    <row r="48" spans="1:9" ht="18" customHeight="1">
      <c r="A48" s="30" t="s">
        <v>181</v>
      </c>
      <c r="E48" s="72">
        <f>AVERAGE(D44:E44)</f>
        <v>26000</v>
      </c>
      <c r="F48" s="72">
        <f t="shared" ref="F48:I48" si="19">AVERAGE(E44:F44)</f>
        <v>26000</v>
      </c>
      <c r="G48" s="72">
        <f t="shared" si="19"/>
        <v>26000</v>
      </c>
      <c r="H48" s="72">
        <f t="shared" si="19"/>
        <v>26000</v>
      </c>
      <c r="I48" s="72">
        <f t="shared" si="19"/>
        <v>26000</v>
      </c>
    </row>
    <row r="49" spans="1:9" ht="18" customHeight="1">
      <c r="A49" s="30" t="s">
        <v>182</v>
      </c>
      <c r="E49" s="41">
        <f>E46*E48</f>
        <v>699.4</v>
      </c>
      <c r="F49" s="41">
        <f t="shared" ref="F49:I49" si="20">F46*F48</f>
        <v>699.4</v>
      </c>
      <c r="G49" s="41">
        <f t="shared" si="20"/>
        <v>699.4</v>
      </c>
      <c r="H49" s="41">
        <f t="shared" si="20"/>
        <v>699.4</v>
      </c>
      <c r="I49" s="41">
        <f t="shared" si="20"/>
        <v>699.4</v>
      </c>
    </row>
    <row r="51" spans="1:9">
      <c r="A51" s="42" t="s">
        <v>198</v>
      </c>
    </row>
    <row r="52" spans="1:9" ht="18" customHeight="1">
      <c r="A52" s="30" t="s">
        <v>203</v>
      </c>
      <c r="D52" s="39">
        <f>D7</f>
        <v>0</v>
      </c>
      <c r="E52" s="39">
        <f ca="1">E7</f>
        <v>0</v>
      </c>
      <c r="F52" s="39">
        <f t="shared" ref="F52:I52" ca="1" si="21">F7</f>
        <v>0</v>
      </c>
      <c r="G52" s="39">
        <f t="shared" ca="1" si="21"/>
        <v>0</v>
      </c>
      <c r="H52" s="39">
        <f t="shared" ca="1" si="21"/>
        <v>0</v>
      </c>
      <c r="I52" s="39">
        <f t="shared" ca="1" si="21"/>
        <v>0</v>
      </c>
    </row>
    <row r="53" spans="1:9" ht="18" customHeight="1">
      <c r="A53" s="30" t="s">
        <v>204</v>
      </c>
      <c r="D53" s="41">
        <f>SUM(D17,D26,D35,D44)</f>
        <v>94636</v>
      </c>
      <c r="E53" s="41">
        <f>SUM(E17,E26,E35,E44)</f>
        <v>88268.800000000003</v>
      </c>
      <c r="F53" s="41">
        <f t="shared" ref="F53:I53" si="22">SUM(F17,F26,F35,F44)</f>
        <v>81901.600000000006</v>
      </c>
      <c r="G53" s="41">
        <f t="shared" si="22"/>
        <v>75534.399999999994</v>
      </c>
      <c r="H53" s="41">
        <f t="shared" si="22"/>
        <v>43167.199999999997</v>
      </c>
      <c r="I53" s="41">
        <f t="shared" si="22"/>
        <v>36800</v>
      </c>
    </row>
    <row r="54" spans="1:9">
      <c r="A54" s="74" t="s">
        <v>205</v>
      </c>
      <c r="D54" s="13">
        <f>SUM(D52:D53)</f>
        <v>94636</v>
      </c>
      <c r="E54" s="13">
        <f ca="1">SUM(E52:E53)</f>
        <v>88268.800000000003</v>
      </c>
      <c r="F54" s="13">
        <f t="shared" ref="F54:I54" ca="1" si="23">SUM(F52:F53)</f>
        <v>81901.600000000006</v>
      </c>
      <c r="G54" s="13">
        <f t="shared" ca="1" si="23"/>
        <v>75534.399999999994</v>
      </c>
      <c r="H54" s="13">
        <f t="shared" ca="1" si="23"/>
        <v>43167.199999999997</v>
      </c>
      <c r="I54" s="13">
        <f t="shared" ca="1" si="23"/>
        <v>36800</v>
      </c>
    </row>
    <row r="55" spans="1:9">
      <c r="A55" s="42"/>
    </row>
    <row r="56" spans="1:9">
      <c r="A56" s="42" t="s">
        <v>201</v>
      </c>
    </row>
    <row r="57" spans="1:9" ht="18" customHeight="1">
      <c r="A57" s="30" t="s">
        <v>200</v>
      </c>
      <c r="E57" s="39">
        <f ca="1">E12</f>
        <v>0</v>
      </c>
      <c r="F57" s="39">
        <f t="shared" ref="F57:I57" ca="1" si="24">F12</f>
        <v>0</v>
      </c>
      <c r="G57" s="39">
        <f t="shared" ca="1" si="24"/>
        <v>0</v>
      </c>
      <c r="H57" s="39">
        <f t="shared" ca="1" si="24"/>
        <v>0</v>
      </c>
      <c r="I57" s="39">
        <f t="shared" ca="1" si="24"/>
        <v>0</v>
      </c>
    </row>
    <row r="58" spans="1:9" ht="18" customHeight="1">
      <c r="A58" s="30" t="s">
        <v>199</v>
      </c>
      <c r="E58" s="41">
        <f>SUM(E22,E31,E40,E49)</f>
        <v>3440.9136000000003</v>
      </c>
      <c r="F58" s="41">
        <f t="shared" ref="F58:I58" si="25">SUM(F22,F31,F40,F49)</f>
        <v>3057.4928</v>
      </c>
      <c r="G58" s="41">
        <f t="shared" si="25"/>
        <v>2674.0720000000001</v>
      </c>
      <c r="H58" s="41">
        <f t="shared" si="25"/>
        <v>1965.6511999999998</v>
      </c>
      <c r="I58" s="41">
        <f t="shared" si="25"/>
        <v>1257.2303999999999</v>
      </c>
    </row>
    <row r="59" spans="1:9">
      <c r="A59" s="74" t="s">
        <v>202</v>
      </c>
      <c r="E59" s="13">
        <f ca="1">SUM(E57:E58)</f>
        <v>3440.9136000000003</v>
      </c>
      <c r="F59" s="13">
        <f t="shared" ref="F59:I59" ca="1" si="26">SUM(F57:F58)</f>
        <v>3057.4928</v>
      </c>
      <c r="G59" s="13">
        <f t="shared" ca="1" si="26"/>
        <v>2674.0720000000001</v>
      </c>
      <c r="H59" s="13">
        <f t="shared" ca="1" si="26"/>
        <v>1965.6511999999998</v>
      </c>
      <c r="I59" s="13">
        <f t="shared" ca="1" si="26"/>
        <v>1257.2303999999999</v>
      </c>
    </row>
    <row r="60" spans="1:9" ht="15" thickBot="1"/>
    <row r="61" spans="1:9" ht="15" thickBot="1">
      <c r="A61" s="75" t="s">
        <v>188</v>
      </c>
    </row>
    <row r="62" spans="1:9" ht="18" customHeight="1">
      <c r="A62" s="30" t="s">
        <v>206</v>
      </c>
      <c r="B62" s="39">
        <f>'Balance Sheet PROJECTED'!K6</f>
        <v>37843</v>
      </c>
      <c r="C62" s="39">
        <f>'Balance Sheet PROJECTED'!L6</f>
        <v>48143</v>
      </c>
      <c r="D62" s="39">
        <f>'Balance Sheet PROJECTED'!M6</f>
        <v>46699</v>
      </c>
      <c r="E62" s="39">
        <f>'Balance Sheet PROJECTED'!N6</f>
        <v>51183.575190000003</v>
      </c>
      <c r="F62" s="39">
        <f>'Balance Sheet PROJECTED'!O6</f>
        <v>54766.425453299998</v>
      </c>
      <c r="G62" s="39">
        <f>'Balance Sheet PROJECTED'!P6</f>
        <v>58600.075235031007</v>
      </c>
      <c r="H62" s="39">
        <f>'Balance Sheet PROJECTED'!Q6</f>
        <v>62702.080501483179</v>
      </c>
      <c r="I62" s="39">
        <f>'Balance Sheet PROJECTED'!R6</f>
        <v>67091.226136586993</v>
      </c>
    </row>
    <row r="63" spans="1:9" ht="18" customHeight="1">
      <c r="A63" s="30" t="s">
        <v>207</v>
      </c>
      <c r="E63" s="40">
        <f ca="1">'Balance Sheet PROJECTED'!N7</f>
        <v>13971.34196832242</v>
      </c>
      <c r="F63" s="40">
        <f ca="1">'Balance Sheet PROJECTED'!O7</f>
        <v>33162.132885569714</v>
      </c>
      <c r="G63" s="40">
        <f ca="1">'Balance Sheet PROJECTED'!P7</f>
        <v>54645.131112277159</v>
      </c>
      <c r="H63" s="40">
        <f ca="1">'Balance Sheet PROJECTED'!Q7</f>
        <v>52487.115062045974</v>
      </c>
      <c r="I63" s="40">
        <f ca="1">'Balance Sheet PROJECTED'!R7</f>
        <v>78167.863270440357</v>
      </c>
    </row>
    <row r="64" spans="1:9" ht="18" customHeight="1">
      <c r="A64" s="74" t="s">
        <v>208</v>
      </c>
      <c r="D64" s="13">
        <f>SUM(D62:D63)</f>
        <v>46699</v>
      </c>
      <c r="E64" s="13">
        <f ca="1">SUM(E62:E63)</f>
        <v>65154.917158322423</v>
      </c>
      <c r="F64" s="13">
        <f t="shared" ref="F64:I64" ca="1" si="27">SUM(F62:F63)</f>
        <v>87928.558338869712</v>
      </c>
      <c r="G64" s="13">
        <f t="shared" ca="1" si="27"/>
        <v>113245.20634730817</v>
      </c>
      <c r="H64" s="13">
        <f t="shared" ca="1" si="27"/>
        <v>115189.19556352915</v>
      </c>
      <c r="I64" s="13">
        <f t="shared" ca="1" si="27"/>
        <v>145259.08940702735</v>
      </c>
    </row>
    <row r="66" spans="1:9" ht="18" customHeight="1">
      <c r="A66" s="30" t="s">
        <v>180</v>
      </c>
      <c r="E66" s="71">
        <f>Assumptions!T58</f>
        <v>4.7500000000000001E-2</v>
      </c>
      <c r="F66" s="71">
        <f>Assumptions!U58</f>
        <v>4.7500000000000001E-2</v>
      </c>
      <c r="G66" s="71">
        <f>Assumptions!V58</f>
        <v>4.7500000000000001E-2</v>
      </c>
      <c r="H66" s="71">
        <f>Assumptions!W58</f>
        <v>4.7500000000000001E-2</v>
      </c>
      <c r="I66" s="71">
        <f>Assumptions!X58</f>
        <v>4.7500000000000001E-2</v>
      </c>
    </row>
    <row r="68" spans="1:9" ht="18" customHeight="1">
      <c r="A68" s="30" t="s">
        <v>181</v>
      </c>
      <c r="E68" s="72">
        <f ca="1">AVERAGE(D64:E64)</f>
        <v>55926.958579161212</v>
      </c>
      <c r="F68" s="72">
        <f t="shared" ref="F68:I68" ca="1" si="28">AVERAGE(E64:F64)</f>
        <v>76541.737748596061</v>
      </c>
      <c r="G68" s="72">
        <f t="shared" ca="1" si="28"/>
        <v>100586.88234308895</v>
      </c>
      <c r="H68" s="72">
        <f t="shared" ca="1" si="28"/>
        <v>114217.20095541867</v>
      </c>
      <c r="I68" s="72">
        <f t="shared" ca="1" si="28"/>
        <v>130224.14248527825</v>
      </c>
    </row>
    <row r="69" spans="1:9" ht="18" customHeight="1">
      <c r="A69" s="30" t="s">
        <v>209</v>
      </c>
      <c r="E69" s="41">
        <f ca="1">E66*E68</f>
        <v>2656.5305325101576</v>
      </c>
      <c r="F69" s="41">
        <f t="shared" ref="F69:I69" ca="1" si="29">F66*F68</f>
        <v>3635.7325430583128</v>
      </c>
      <c r="G69" s="41">
        <f t="shared" ca="1" si="29"/>
        <v>4777.8769112967248</v>
      </c>
      <c r="H69" s="41">
        <f t="shared" ca="1" si="29"/>
        <v>5425.3170453823868</v>
      </c>
      <c r="I69" s="41">
        <f t="shared" ca="1" si="29"/>
        <v>6185.6467680507167</v>
      </c>
    </row>
  </sheetData>
  <pageMargins left="0.7" right="0.7" top="0.75" bottom="0.75" header="0.3" footer="0.3"/>
  <pageSetup scale="45"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65BD1-900B-44D0-9492-98499A4BB029}">
  <dimension ref="A1:R64"/>
  <sheetViews>
    <sheetView zoomScale="130" zoomScaleNormal="130" workbookViewId="0">
      <pane xSplit="2" ySplit="3" topLeftCell="C4" activePane="bottomRight" state="frozen"/>
      <selection activeCell="C38" sqref="C38"/>
      <selection pane="topRight" activeCell="C38" sqref="C38"/>
      <selection pane="bottomLeft" activeCell="C38" sqref="C38"/>
      <selection pane="bottomRight" activeCell="K4" sqref="K4"/>
    </sheetView>
  </sheetViews>
  <sheetFormatPr baseColWidth="10" defaultColWidth="8.625" defaultRowHeight="14" outlineLevelCol="1"/>
  <cols>
    <col min="1" max="1" width="3.375" customWidth="1"/>
    <col min="2" max="2" width="37.25" bestFit="1" customWidth="1"/>
    <col min="3" max="3" width="11.375" hidden="1" customWidth="1" outlineLevel="1"/>
    <col min="4" max="4" width="12" hidden="1" customWidth="1" outlineLevel="1"/>
    <col min="5" max="5" width="11.375" hidden="1" customWidth="1" outlineLevel="1"/>
    <col min="6" max="7" width="11.125" hidden="1" customWidth="1" outlineLevel="1"/>
    <col min="8" max="8" width="11.75" hidden="1" customWidth="1" outlineLevel="1"/>
    <col min="9" max="9" width="11.125" hidden="1" customWidth="1" outlineLevel="1"/>
    <col min="10" max="10" width="11.75" hidden="1" customWidth="1" outlineLevel="1"/>
    <col min="11" max="11" width="11.75" bestFit="1" customWidth="1" collapsed="1"/>
    <col min="12" max="12" width="11.375" bestFit="1" customWidth="1"/>
    <col min="13" max="13" width="11.25" bestFit="1" customWidth="1"/>
    <col min="14" max="18" width="11.75" customWidth="1"/>
  </cols>
  <sheetData>
    <row r="1" spans="1:18" ht="31" thickBot="1">
      <c r="A1" s="4" t="s">
        <v>128</v>
      </c>
      <c r="B1" s="5"/>
      <c r="C1" s="5"/>
      <c r="D1" s="5"/>
      <c r="E1" s="5"/>
      <c r="F1" s="5"/>
      <c r="G1" s="5"/>
      <c r="H1" s="5"/>
      <c r="I1" s="5"/>
      <c r="J1" s="5"/>
      <c r="K1" s="5"/>
      <c r="L1" s="5"/>
      <c r="M1" s="5"/>
      <c r="N1" s="5"/>
      <c r="O1" s="5"/>
      <c r="P1" s="5"/>
      <c r="Q1" s="5"/>
      <c r="R1" s="5"/>
    </row>
    <row r="2" spans="1:18" ht="15" thickBot="1">
      <c r="B2" s="6" t="s">
        <v>5</v>
      </c>
      <c r="K2" s="54" t="s">
        <v>172</v>
      </c>
      <c r="L2" s="55"/>
      <c r="M2" s="56"/>
      <c r="N2" s="54" t="s">
        <v>173</v>
      </c>
      <c r="O2" s="55"/>
      <c r="P2" s="55"/>
      <c r="Q2" s="55"/>
      <c r="R2" s="56"/>
    </row>
    <row r="3" spans="1:18">
      <c r="C3" s="7">
        <v>41882</v>
      </c>
      <c r="D3" s="7">
        <v>42247</v>
      </c>
      <c r="E3" s="7">
        <v>42613</v>
      </c>
      <c r="F3" s="7">
        <v>42978</v>
      </c>
      <c r="G3" s="7">
        <v>43343</v>
      </c>
      <c r="H3" s="7">
        <v>43708</v>
      </c>
      <c r="I3" s="7">
        <v>44074</v>
      </c>
      <c r="J3" s="7">
        <v>44439</v>
      </c>
      <c r="K3" s="58">
        <v>44804</v>
      </c>
      <c r="L3" s="58">
        <v>45169</v>
      </c>
      <c r="M3" s="58">
        <v>45535</v>
      </c>
      <c r="N3" s="58">
        <v>45900</v>
      </c>
      <c r="O3" s="58">
        <v>46265</v>
      </c>
      <c r="P3" s="58">
        <v>46630</v>
      </c>
      <c r="Q3" s="58">
        <v>46996</v>
      </c>
      <c r="R3" s="58">
        <v>47361</v>
      </c>
    </row>
    <row r="4" spans="1:18">
      <c r="A4" s="1" t="s">
        <v>129</v>
      </c>
      <c r="K4" s="59"/>
      <c r="L4" s="59"/>
      <c r="M4" s="60"/>
      <c r="N4" s="59"/>
      <c r="O4" s="59"/>
      <c r="P4" s="59"/>
      <c r="Q4" s="59"/>
      <c r="R4" s="59"/>
    </row>
    <row r="5" spans="1:18">
      <c r="B5" t="s">
        <v>130</v>
      </c>
      <c r="D5" s="46">
        <f t="shared" ref="D5:K5" si="0">C9</f>
        <v>237596</v>
      </c>
      <c r="E5" s="46">
        <f t="shared" si="0"/>
        <v>260683</v>
      </c>
      <c r="F5" s="46">
        <f t="shared" si="0"/>
        <v>289642</v>
      </c>
      <c r="G5" s="46">
        <f t="shared" si="0"/>
        <v>315764</v>
      </c>
      <c r="H5" s="46">
        <f t="shared" si="0"/>
        <v>351266</v>
      </c>
      <c r="I5" s="46">
        <f t="shared" si="0"/>
        <v>374060</v>
      </c>
      <c r="J5" s="46">
        <f t="shared" si="0"/>
        <v>398731</v>
      </c>
      <c r="K5" s="46">
        <f t="shared" si="0"/>
        <v>430735</v>
      </c>
      <c r="L5" s="46">
        <f>K9</f>
        <v>456076</v>
      </c>
      <c r="M5" s="46">
        <f>L9</f>
        <v>477488</v>
      </c>
      <c r="N5" s="46">
        <f>M9</f>
        <v>499931</v>
      </c>
      <c r="O5" s="46">
        <f t="shared" ref="O5:R5" ca="1" si="1">N9</f>
        <v>536916.27790242247</v>
      </c>
      <c r="P5" s="46">
        <f t="shared" ca="1" si="1"/>
        <v>576970.78429505683</v>
      </c>
      <c r="Q5" s="46">
        <f t="shared" ca="1" si="1"/>
        <v>620332.25408042839</v>
      </c>
      <c r="R5" s="46">
        <f t="shared" ca="1" si="1"/>
        <v>667138.4985979679</v>
      </c>
    </row>
    <row r="6" spans="1:18">
      <c r="B6" t="s">
        <v>131</v>
      </c>
      <c r="D6" s="48">
        <f>'Income Statement'!D20</f>
        <v>44807.000000000015</v>
      </c>
      <c r="E6" s="48">
        <f>'Income Statement'!E20</f>
        <v>52628</v>
      </c>
      <c r="F6" s="48">
        <f>'Income Statement'!F20</f>
        <v>52930</v>
      </c>
      <c r="G6" s="48">
        <f>'Income Statement'!G20</f>
        <v>65215.000000000029</v>
      </c>
      <c r="H6" s="48">
        <f>'Income Statement'!H20</f>
        <v>55907.999999999971</v>
      </c>
      <c r="I6" s="48">
        <f>'Income Statement'!I20</f>
        <v>60710.000000000029</v>
      </c>
      <c r="J6" s="48">
        <f>'Income Statement'!J20</f>
        <v>70228.999999999971</v>
      </c>
      <c r="K6" s="48">
        <f>'Income Statement'!K20</f>
        <v>67329</v>
      </c>
      <c r="L6" s="48">
        <f>'Income Statement'!L20</f>
        <v>65992.999999999971</v>
      </c>
      <c r="M6" s="48">
        <f>'Income Statement'!M20</f>
        <v>69644</v>
      </c>
      <c r="N6" s="48">
        <f ca="1">'Income Statement'!N20</f>
        <v>84057.449778232825</v>
      </c>
      <c r="O6" s="48">
        <f ca="1">'Income Statement'!O20</f>
        <v>91032.969074168883</v>
      </c>
      <c r="P6" s="48">
        <f ca="1">'Income Statement'!P20</f>
        <v>98548.794966753441</v>
      </c>
      <c r="Q6" s="48">
        <f ca="1">'Income Statement'!Q20</f>
        <v>106377.82844895333</v>
      </c>
      <c r="R6" s="48">
        <f ca="1">'Income Statement'!R20</f>
        <v>115573.95649050004</v>
      </c>
    </row>
    <row r="7" spans="1:18">
      <c r="B7" t="s">
        <v>132</v>
      </c>
      <c r="D7" s="12">
        <v>21720</v>
      </c>
      <c r="E7" s="12">
        <v>23669</v>
      </c>
      <c r="F7" s="12">
        <v>26808</v>
      </c>
      <c r="G7" s="12">
        <v>29585</v>
      </c>
      <c r="H7" s="12">
        <v>32889</v>
      </c>
      <c r="I7" s="12">
        <v>36039</v>
      </c>
      <c r="J7" s="12">
        <v>38225</v>
      </c>
      <c r="K7" s="12">
        <v>41988</v>
      </c>
      <c r="L7" s="12">
        <v>44581</v>
      </c>
      <c r="M7" s="12">
        <v>47201</v>
      </c>
      <c r="N7" s="52">
        <f ca="1">Assumptions!T19*Calcs!N6</f>
        <v>47072.171875810389</v>
      </c>
      <c r="O7" s="52">
        <f ca="1">Assumptions!U19*Calcs!O6</f>
        <v>50978.462681534576</v>
      </c>
      <c r="P7" s="52">
        <f ca="1">Assumptions!V19*Calcs!P6</f>
        <v>55187.32518138193</v>
      </c>
      <c r="Q7" s="52">
        <f ca="1">Assumptions!W19*Calcs!Q6</f>
        <v>59571.583931413865</v>
      </c>
      <c r="R7" s="52">
        <f ca="1">Assumptions!X19*Calcs!R6</f>
        <v>64721.41563468003</v>
      </c>
    </row>
    <row r="8" spans="1:18">
      <c r="B8" t="s">
        <v>150</v>
      </c>
      <c r="D8" s="12">
        <v>0</v>
      </c>
      <c r="E8" s="12">
        <v>0</v>
      </c>
      <c r="F8" s="12">
        <v>0</v>
      </c>
      <c r="G8" s="12">
        <v>-128</v>
      </c>
      <c r="H8" s="12">
        <v>-225</v>
      </c>
      <c r="I8" s="12">
        <v>0</v>
      </c>
      <c r="J8" s="12">
        <v>0</v>
      </c>
      <c r="K8" s="12">
        <v>0</v>
      </c>
      <c r="L8" s="12">
        <v>0</v>
      </c>
      <c r="M8" s="12">
        <v>0</v>
      </c>
      <c r="N8" s="48">
        <f>M8</f>
        <v>0</v>
      </c>
      <c r="O8" s="48">
        <f t="shared" ref="O8:R8" si="2">N8</f>
        <v>0</v>
      </c>
      <c r="P8" s="48">
        <f t="shared" si="2"/>
        <v>0</v>
      </c>
      <c r="Q8" s="48">
        <f t="shared" si="2"/>
        <v>0</v>
      </c>
      <c r="R8" s="48">
        <f t="shared" si="2"/>
        <v>0</v>
      </c>
    </row>
    <row r="9" spans="1:18">
      <c r="B9" s="8" t="s">
        <v>133</v>
      </c>
      <c r="C9" s="50">
        <f>'Balance Sheet HISTORICAL'!$C$39</f>
        <v>237596</v>
      </c>
      <c r="D9" s="13">
        <f t="shared" ref="D9:L9" si="3">D5+D6-D7+D8</f>
        <v>260683</v>
      </c>
      <c r="E9" s="13">
        <f t="shared" si="3"/>
        <v>289642</v>
      </c>
      <c r="F9" s="13">
        <f t="shared" si="3"/>
        <v>315764</v>
      </c>
      <c r="G9" s="13">
        <f t="shared" si="3"/>
        <v>351266</v>
      </c>
      <c r="H9" s="13">
        <f t="shared" si="3"/>
        <v>374060</v>
      </c>
      <c r="I9" s="13">
        <f t="shared" si="3"/>
        <v>398731</v>
      </c>
      <c r="J9" s="13">
        <f t="shared" si="3"/>
        <v>430735</v>
      </c>
      <c r="K9" s="13">
        <f t="shared" si="3"/>
        <v>456076</v>
      </c>
      <c r="L9" s="13">
        <f t="shared" si="3"/>
        <v>477488</v>
      </c>
      <c r="M9" s="13">
        <f>M5+M6-M7+M8</f>
        <v>499931</v>
      </c>
      <c r="N9" s="13">
        <f ca="1">N5+N6-N7+N8</f>
        <v>536916.27790242247</v>
      </c>
      <c r="O9" s="13">
        <f t="shared" ref="O9:R9" ca="1" si="4">O5+O6-O7+O8</f>
        <v>576970.78429505683</v>
      </c>
      <c r="P9" s="13">
        <f t="shared" ca="1" si="4"/>
        <v>620332.25408042839</v>
      </c>
      <c r="Q9" s="13">
        <f t="shared" ca="1" si="4"/>
        <v>667138.4985979679</v>
      </c>
      <c r="R9" s="13">
        <f t="shared" ca="1" si="4"/>
        <v>717991.03945378785</v>
      </c>
    </row>
    <row r="10" spans="1:18">
      <c r="B10" s="10" t="s">
        <v>134</v>
      </c>
      <c r="D10" s="48">
        <f>'Balance Sheet HISTORICAL'!D39</f>
        <v>260683</v>
      </c>
      <c r="E10" s="48">
        <f>'Balance Sheet HISTORICAL'!E39</f>
        <v>289642</v>
      </c>
      <c r="F10" s="48">
        <f>'Balance Sheet HISTORICAL'!F39</f>
        <v>315764</v>
      </c>
      <c r="G10" s="48">
        <f>'Balance Sheet HISTORICAL'!G39</f>
        <v>351266</v>
      </c>
      <c r="H10" s="48">
        <f>'Balance Sheet HISTORICAL'!H39</f>
        <v>374060</v>
      </c>
      <c r="I10" s="48">
        <f>'Balance Sheet HISTORICAL'!I39</f>
        <v>398731</v>
      </c>
      <c r="J10" s="48">
        <f>'Balance Sheet HISTORICAL'!J39</f>
        <v>430735</v>
      </c>
      <c r="K10" s="48">
        <f>'Balance Sheet HISTORICAL'!K39</f>
        <v>456076</v>
      </c>
      <c r="L10" s="48">
        <f>'Balance Sheet HISTORICAL'!L39</f>
        <v>477488</v>
      </c>
      <c r="M10" s="48">
        <f>'Balance Sheet HISTORICAL'!M39</f>
        <v>499931</v>
      </c>
    </row>
    <row r="11" spans="1:18">
      <c r="D11" s="49">
        <f t="shared" ref="D11:J11" si="5">D9-D10</f>
        <v>0</v>
      </c>
      <c r="E11" s="49">
        <f t="shared" si="5"/>
        <v>0</v>
      </c>
      <c r="F11" s="49">
        <f t="shared" si="5"/>
        <v>0</v>
      </c>
      <c r="G11" s="49">
        <f t="shared" si="5"/>
        <v>0</v>
      </c>
      <c r="H11" s="49">
        <f t="shared" si="5"/>
        <v>0</v>
      </c>
      <c r="I11" s="49">
        <f t="shared" si="5"/>
        <v>0</v>
      </c>
      <c r="J11" s="49">
        <f t="shared" si="5"/>
        <v>0</v>
      </c>
      <c r="K11" s="49">
        <f>K9-K10</f>
        <v>0</v>
      </c>
      <c r="L11" s="49">
        <f>L9-L10</f>
        <v>0</v>
      </c>
      <c r="M11" s="49">
        <f>M9-M10</f>
        <v>0</v>
      </c>
    </row>
    <row r="12" spans="1:18">
      <c r="A12" s="1" t="s">
        <v>159</v>
      </c>
      <c r="D12" s="49"/>
      <c r="E12" s="49"/>
      <c r="F12" s="49"/>
      <c r="G12" s="49"/>
      <c r="H12" s="49"/>
      <c r="I12" s="49"/>
      <c r="J12" s="49"/>
      <c r="K12" s="49"/>
      <c r="L12" s="49"/>
      <c r="M12" s="49"/>
    </row>
    <row r="13" spans="1:18">
      <c r="B13" t="s">
        <v>130</v>
      </c>
      <c r="D13" s="46">
        <f>C16</f>
        <v>23671</v>
      </c>
      <c r="E13" s="46">
        <f t="shared" ref="E13:M13" si="6">D16</f>
        <v>22961</v>
      </c>
      <c r="F13" s="46">
        <f t="shared" si="6"/>
        <v>19191</v>
      </c>
      <c r="G13" s="46">
        <f t="shared" si="6"/>
        <v>16244</v>
      </c>
      <c r="H13" s="46">
        <f t="shared" si="6"/>
        <v>13513</v>
      </c>
      <c r="I13" s="46">
        <f t="shared" si="6"/>
        <v>10652</v>
      </c>
      <c r="J13" s="46">
        <f t="shared" si="6"/>
        <v>8633</v>
      </c>
      <c r="K13" s="46">
        <f t="shared" si="6"/>
        <v>7244</v>
      </c>
      <c r="L13" s="46">
        <f t="shared" si="6"/>
        <v>5588</v>
      </c>
      <c r="M13" s="46">
        <f t="shared" si="6"/>
        <v>4670</v>
      </c>
      <c r="N13" s="46">
        <f>M16</f>
        <v>6222</v>
      </c>
      <c r="O13" s="46">
        <f t="shared" ref="O13:R13" si="7">N16</f>
        <v>4958.20802</v>
      </c>
      <c r="P13" s="46">
        <f t="shared" si="7"/>
        <v>3605.9506013999999</v>
      </c>
      <c r="Q13" s="46">
        <f t="shared" si="7"/>
        <v>2159.0351634979997</v>
      </c>
      <c r="R13" s="46">
        <f t="shared" si="7"/>
        <v>610.83564494285952</v>
      </c>
    </row>
    <row r="14" spans="1:18">
      <c r="B14" t="s">
        <v>160</v>
      </c>
      <c r="D14" s="52">
        <f>D16-D13+D15</f>
        <v>2329</v>
      </c>
      <c r="E14" s="52">
        <f t="shared" ref="E14:M14" si="8">E16-E13+E15</f>
        <v>-794</v>
      </c>
      <c r="F14" s="52">
        <f t="shared" si="8"/>
        <v>-68</v>
      </c>
      <c r="G14" s="52">
        <f t="shared" si="8"/>
        <v>220</v>
      </c>
      <c r="H14" s="52">
        <f t="shared" si="8"/>
        <v>-155</v>
      </c>
      <c r="I14" s="52">
        <f t="shared" si="8"/>
        <v>192</v>
      </c>
      <c r="J14" s="52">
        <f t="shared" si="8"/>
        <v>60</v>
      </c>
      <c r="K14" s="52">
        <f t="shared" si="8"/>
        <v>-222</v>
      </c>
      <c r="L14" s="52">
        <f t="shared" si="8"/>
        <v>87</v>
      </c>
      <c r="M14" s="52">
        <f t="shared" si="8"/>
        <v>2658</v>
      </c>
      <c r="N14" s="48">
        <f>Assumptions!T31</f>
        <v>0</v>
      </c>
      <c r="O14" s="48">
        <f>Assumptions!U31</f>
        <v>0</v>
      </c>
      <c r="P14" s="48">
        <f>Assumptions!V31</f>
        <v>0</v>
      </c>
      <c r="Q14" s="48">
        <f>Assumptions!W31</f>
        <v>0</v>
      </c>
      <c r="R14" s="48">
        <f>Assumptions!X31</f>
        <v>0</v>
      </c>
    </row>
    <row r="15" spans="1:18">
      <c r="B15" t="s">
        <v>161</v>
      </c>
      <c r="D15" s="48">
        <f>'Income Statement'!D13</f>
        <v>3039</v>
      </c>
      <c r="E15" s="48">
        <f>'Income Statement'!E13</f>
        <v>2976</v>
      </c>
      <c r="F15" s="48">
        <f>'Income Statement'!F13</f>
        <v>2879</v>
      </c>
      <c r="G15" s="48">
        <f>'Income Statement'!G13</f>
        <v>2951</v>
      </c>
      <c r="H15" s="48">
        <f>'Income Statement'!H13</f>
        <v>2706</v>
      </c>
      <c r="I15" s="48">
        <f>'Income Statement'!I13</f>
        <v>2211</v>
      </c>
      <c r="J15" s="48">
        <f>'Income Statement'!J13</f>
        <v>1449</v>
      </c>
      <c r="K15" s="48">
        <f>'Income Statement'!K13</f>
        <v>1434</v>
      </c>
      <c r="L15" s="48">
        <f>'Income Statement'!L13</f>
        <v>1005</v>
      </c>
      <c r="M15" s="48">
        <f>'Income Statement'!M13</f>
        <v>1106</v>
      </c>
      <c r="N15" s="52">
        <f>IF((Assumptions!T9*'Income Statement'!N6)&gt;Calcs!N13,Calcs!N13,(Assumptions!T9*'Income Statement'!N6))</f>
        <v>1263.79198</v>
      </c>
      <c r="O15" s="52">
        <f>IF((Assumptions!U9*'Income Statement'!O6)&gt;Calcs!O13,Calcs!O13,(Assumptions!U9*'Income Statement'!O6))</f>
        <v>1352.2574185999999</v>
      </c>
      <c r="P15" s="52">
        <f>IF((Assumptions!V9*'Income Statement'!P6)&gt;Calcs!P13,Calcs!P13,(Assumptions!V9*'Income Statement'!P6))</f>
        <v>1446.9154379020001</v>
      </c>
      <c r="Q15" s="52">
        <f>IF((Assumptions!W9*'Income Statement'!Q6)&gt;Calcs!Q13,Calcs!Q13,(Assumptions!W9*'Income Statement'!Q6))</f>
        <v>1548.1995185551402</v>
      </c>
      <c r="R15" s="52">
        <f>IF((Assumptions!X9*'Income Statement'!R6)&gt;Calcs!R13,Calcs!R13,(Assumptions!X9*'Income Statement'!R6))</f>
        <v>610.83564494285952</v>
      </c>
    </row>
    <row r="16" spans="1:18">
      <c r="B16" s="8" t="s">
        <v>139</v>
      </c>
      <c r="C16" s="50">
        <f>'Balance Sheet HISTORICAL'!C15</f>
        <v>23671</v>
      </c>
      <c r="D16" s="50">
        <f>'Balance Sheet HISTORICAL'!D15</f>
        <v>22961</v>
      </c>
      <c r="E16" s="50">
        <f>'Balance Sheet HISTORICAL'!E15</f>
        <v>19191</v>
      </c>
      <c r="F16" s="50">
        <f>'Balance Sheet HISTORICAL'!F15</f>
        <v>16244</v>
      </c>
      <c r="G16" s="50">
        <f>'Balance Sheet HISTORICAL'!G15</f>
        <v>13513</v>
      </c>
      <c r="H16" s="50">
        <f>'Balance Sheet HISTORICAL'!H15</f>
        <v>10652</v>
      </c>
      <c r="I16" s="50">
        <f>'Balance Sheet HISTORICAL'!I15</f>
        <v>8633</v>
      </c>
      <c r="J16" s="50">
        <f>'Balance Sheet HISTORICAL'!J15</f>
        <v>7244</v>
      </c>
      <c r="K16" s="50">
        <f>'Balance Sheet HISTORICAL'!K15</f>
        <v>5588</v>
      </c>
      <c r="L16" s="50">
        <f>'Balance Sheet HISTORICAL'!L15</f>
        <v>4670</v>
      </c>
      <c r="M16" s="50">
        <f>'Balance Sheet HISTORICAL'!M15</f>
        <v>6222</v>
      </c>
      <c r="N16" s="13">
        <f>N13+N14-N15</f>
        <v>4958.20802</v>
      </c>
      <c r="O16" s="13">
        <f t="shared" ref="O16:R16" si="9">O13+O14-O15</f>
        <v>3605.9506013999999</v>
      </c>
      <c r="P16" s="13">
        <f t="shared" si="9"/>
        <v>2159.0351634979997</v>
      </c>
      <c r="Q16" s="13">
        <f t="shared" si="9"/>
        <v>610.83564494285952</v>
      </c>
      <c r="R16" s="13">
        <f t="shared" si="9"/>
        <v>0</v>
      </c>
    </row>
    <row r="17" spans="1:18">
      <c r="D17" s="49"/>
      <c r="E17" s="49"/>
      <c r="F17" s="49"/>
      <c r="G17" s="49"/>
      <c r="H17" s="49"/>
      <c r="I17" s="49"/>
      <c r="J17" s="49"/>
      <c r="K17" s="49"/>
      <c r="L17" s="49"/>
      <c r="M17" s="49"/>
    </row>
    <row r="18" spans="1:18">
      <c r="A18" s="1" t="s">
        <v>135</v>
      </c>
    </row>
    <row r="19" spans="1:18">
      <c r="B19" t="s">
        <v>130</v>
      </c>
      <c r="D19" s="46">
        <f t="shared" ref="D19:K19" si="10">C22</f>
        <v>9702</v>
      </c>
      <c r="E19" s="46">
        <f t="shared" si="10"/>
        <v>11376</v>
      </c>
      <c r="F19" s="46">
        <f t="shared" si="10"/>
        <v>11545</v>
      </c>
      <c r="G19" s="46">
        <f t="shared" si="10"/>
        <v>29439</v>
      </c>
      <c r="H19" s="46">
        <f t="shared" si="10"/>
        <v>36357</v>
      </c>
      <c r="I19" s="46">
        <f t="shared" si="10"/>
        <v>45076</v>
      </c>
      <c r="J19" s="46">
        <f t="shared" si="10"/>
        <v>60759</v>
      </c>
      <c r="K19" s="46">
        <f t="shared" si="10"/>
        <v>70145</v>
      </c>
      <c r="L19" s="46">
        <f>K22</f>
        <v>65977</v>
      </c>
      <c r="M19" s="46">
        <f>L22</f>
        <v>66791</v>
      </c>
      <c r="N19" s="46">
        <f>M22</f>
        <v>62983</v>
      </c>
      <c r="O19" s="46">
        <f t="shared" ref="O19:R19" si="11">N22</f>
        <v>66774.375939999998</v>
      </c>
      <c r="P19" s="46">
        <f t="shared" si="11"/>
        <v>70831.148195799993</v>
      </c>
      <c r="Q19" s="46">
        <f t="shared" si="11"/>
        <v>75171.894509506004</v>
      </c>
      <c r="R19" s="46">
        <f t="shared" si="11"/>
        <v>79816.493065171439</v>
      </c>
    </row>
    <row r="20" spans="1:18">
      <c r="B20" t="s">
        <v>136</v>
      </c>
      <c r="D20" s="12">
        <v>5784</v>
      </c>
      <c r="E20" s="12">
        <v>4354</v>
      </c>
      <c r="F20" s="12">
        <v>20150</v>
      </c>
      <c r="G20" s="12">
        <v>12356</v>
      </c>
      <c r="H20" s="12">
        <v>13282</v>
      </c>
      <c r="I20" s="12">
        <v>19307</v>
      </c>
      <c r="J20" s="12">
        <v>15059</v>
      </c>
      <c r="K20" s="12">
        <v>8303</v>
      </c>
      <c r="L20" s="12">
        <v>6871</v>
      </c>
      <c r="M20" s="12">
        <v>4206</v>
      </c>
      <c r="N20" s="52">
        <f>Assumptions!T28*'Income Statement'!N6</f>
        <v>12637.9198</v>
      </c>
      <c r="O20" s="52">
        <f>Assumptions!U28*'Income Statement'!O6</f>
        <v>13522.574186</v>
      </c>
      <c r="P20" s="52">
        <f>Assumptions!V28*'Income Statement'!P6</f>
        <v>14469.154379020001</v>
      </c>
      <c r="Q20" s="52">
        <f>Assumptions!W28*'Income Statement'!Q6</f>
        <v>15481.995185551401</v>
      </c>
      <c r="R20" s="52">
        <f>Assumptions!X28*'Income Statement'!R6</f>
        <v>16565.73484854</v>
      </c>
    </row>
    <row r="21" spans="1:18">
      <c r="B21" t="s">
        <v>138</v>
      </c>
      <c r="D21" s="48">
        <f t="shared" ref="D21:J21" si="12">D26</f>
        <v>3425</v>
      </c>
      <c r="E21" s="48">
        <f t="shared" si="12"/>
        <v>3489</v>
      </c>
      <c r="F21" s="48">
        <f t="shared" si="12"/>
        <v>3890</v>
      </c>
      <c r="G21" s="48">
        <f t="shared" si="12"/>
        <v>4849</v>
      </c>
      <c r="H21" s="48">
        <f t="shared" si="12"/>
        <v>4887</v>
      </c>
      <c r="I21" s="48">
        <f t="shared" si="12"/>
        <v>5490</v>
      </c>
      <c r="J21" s="48">
        <f t="shared" si="12"/>
        <v>5570</v>
      </c>
      <c r="K21" s="48">
        <f>K26</f>
        <v>6860</v>
      </c>
      <c r="L21" s="48">
        <f>L26</f>
        <v>7146</v>
      </c>
      <c r="M21" s="48">
        <f>M26</f>
        <v>8350</v>
      </c>
      <c r="N21" s="52">
        <f>Assumptions!T29*'Income Statement'!N6</f>
        <v>8846.5438599999998</v>
      </c>
      <c r="O21" s="52">
        <f>Assumptions!U29*'Income Statement'!O6</f>
        <v>9465.8019301999993</v>
      </c>
      <c r="P21" s="52">
        <f>Assumptions!V29*'Income Statement'!P6</f>
        <v>10128.408065314001</v>
      </c>
      <c r="Q21" s="52">
        <f>Assumptions!W29*'Income Statement'!Q6</f>
        <v>10837.396629885981</v>
      </c>
      <c r="R21" s="52">
        <f>Assumptions!X29*'Income Statement'!R6</f>
        <v>11596.014393977999</v>
      </c>
    </row>
    <row r="22" spans="1:18">
      <c r="B22" s="8" t="s">
        <v>139</v>
      </c>
      <c r="C22" s="50">
        <f>'Balance Sheet HISTORICAL'!C13</f>
        <v>9702</v>
      </c>
      <c r="D22" s="50">
        <f>'Balance Sheet HISTORICAL'!D13</f>
        <v>11376</v>
      </c>
      <c r="E22" s="50">
        <f>'Balance Sheet HISTORICAL'!E13</f>
        <v>11545</v>
      </c>
      <c r="F22" s="50">
        <f>'Balance Sheet HISTORICAL'!F13</f>
        <v>29439</v>
      </c>
      <c r="G22" s="50">
        <f>'Balance Sheet HISTORICAL'!G13</f>
        <v>36357</v>
      </c>
      <c r="H22" s="50">
        <f>'Balance Sheet HISTORICAL'!H13</f>
        <v>45076</v>
      </c>
      <c r="I22" s="50">
        <f>'Balance Sheet HISTORICAL'!I13</f>
        <v>60759</v>
      </c>
      <c r="J22" s="50">
        <f>'Balance Sheet HISTORICAL'!J13</f>
        <v>70145</v>
      </c>
      <c r="K22" s="50">
        <f>'Balance Sheet HISTORICAL'!K13</f>
        <v>65977</v>
      </c>
      <c r="L22" s="50">
        <f>'Balance Sheet HISTORICAL'!L13</f>
        <v>66791</v>
      </c>
      <c r="M22" s="50">
        <f>'Balance Sheet HISTORICAL'!M13</f>
        <v>62983</v>
      </c>
      <c r="N22" s="13">
        <f>N19+N20-N21</f>
        <v>66774.375939999998</v>
      </c>
      <c r="O22" s="13">
        <f t="shared" ref="O22:R22" si="13">O19+O20-O21</f>
        <v>70831.148195799993</v>
      </c>
      <c r="P22" s="13">
        <f t="shared" si="13"/>
        <v>75171.894509506004</v>
      </c>
      <c r="Q22" s="13">
        <f t="shared" si="13"/>
        <v>79816.493065171439</v>
      </c>
      <c r="R22" s="13">
        <f t="shared" si="13"/>
        <v>84786.213519733443</v>
      </c>
    </row>
    <row r="23" spans="1:18">
      <c r="K23" s="47"/>
      <c r="L23" s="47"/>
      <c r="M23" s="47"/>
    </row>
    <row r="24" spans="1:18">
      <c r="B24" t="s">
        <v>140</v>
      </c>
      <c r="C24" s="11">
        <v>5860</v>
      </c>
      <c r="D24" s="11">
        <v>6464</v>
      </c>
      <c r="E24" s="11">
        <v>6465</v>
      </c>
      <c r="F24" s="11">
        <v>6769</v>
      </c>
      <c r="G24" s="11">
        <v>7800</v>
      </c>
      <c r="H24" s="11">
        <v>7593</v>
      </c>
      <c r="I24" s="11">
        <v>7701</v>
      </c>
      <c r="J24" s="11">
        <v>7019</v>
      </c>
      <c r="K24" s="11">
        <v>8294</v>
      </c>
      <c r="L24" s="11">
        <v>8151</v>
      </c>
      <c r="M24" s="11">
        <v>9456</v>
      </c>
    </row>
    <row r="25" spans="1:18">
      <c r="B25" t="s">
        <v>44</v>
      </c>
      <c r="C25" s="48">
        <f>'Income Statement'!C13</f>
        <v>2617</v>
      </c>
      <c r="D25" s="48">
        <f>'Income Statement'!D13</f>
        <v>3039</v>
      </c>
      <c r="E25" s="48">
        <f>'Income Statement'!E13</f>
        <v>2976</v>
      </c>
      <c r="F25" s="48">
        <f>'Income Statement'!F13</f>
        <v>2879</v>
      </c>
      <c r="G25" s="48">
        <f>'Income Statement'!G13</f>
        <v>2951</v>
      </c>
      <c r="H25" s="48">
        <f>'Income Statement'!H13</f>
        <v>2706</v>
      </c>
      <c r="I25" s="48">
        <f>'Income Statement'!I13</f>
        <v>2211</v>
      </c>
      <c r="J25" s="48">
        <f>'Income Statement'!J13</f>
        <v>1449</v>
      </c>
      <c r="K25" s="48">
        <f>'Income Statement'!K13</f>
        <v>1434</v>
      </c>
      <c r="L25" s="48">
        <f>'Income Statement'!L13</f>
        <v>1005</v>
      </c>
      <c r="M25" s="48">
        <f>'Income Statement'!M13</f>
        <v>1106</v>
      </c>
    </row>
    <row r="26" spans="1:18">
      <c r="B26" s="8" t="s">
        <v>141</v>
      </c>
      <c r="C26" s="13">
        <f t="shared" ref="C26:J26" si="14">C24-C25</f>
        <v>3243</v>
      </c>
      <c r="D26" s="13">
        <f t="shared" si="14"/>
        <v>3425</v>
      </c>
      <c r="E26" s="13">
        <f t="shared" si="14"/>
        <v>3489</v>
      </c>
      <c r="F26" s="13">
        <f t="shared" si="14"/>
        <v>3890</v>
      </c>
      <c r="G26" s="13">
        <f t="shared" si="14"/>
        <v>4849</v>
      </c>
      <c r="H26" s="13">
        <f t="shared" si="14"/>
        <v>4887</v>
      </c>
      <c r="I26" s="13">
        <f t="shared" si="14"/>
        <v>5490</v>
      </c>
      <c r="J26" s="13">
        <f t="shared" si="14"/>
        <v>5570</v>
      </c>
      <c r="K26" s="13">
        <f>K24-K25</f>
        <v>6860</v>
      </c>
      <c r="L26" s="13">
        <f t="shared" ref="L26:M26" si="15">L24-L25</f>
        <v>7146</v>
      </c>
      <c r="M26" s="13">
        <f t="shared" si="15"/>
        <v>8350</v>
      </c>
    </row>
    <row r="28" spans="1:18">
      <c r="B28" t="s">
        <v>40</v>
      </c>
      <c r="C28" s="20">
        <v>184144</v>
      </c>
      <c r="D28" s="20">
        <v>177972</v>
      </c>
      <c r="E28" s="20">
        <v>166301</v>
      </c>
      <c r="F28" s="20">
        <v>166621</v>
      </c>
      <c r="G28" s="20">
        <v>183255</v>
      </c>
      <c r="H28" s="20">
        <v>191010</v>
      </c>
      <c r="I28" s="20">
        <v>185481</v>
      </c>
      <c r="J28" s="20">
        <v>224370</v>
      </c>
      <c r="K28" s="20">
        <v>264055</v>
      </c>
      <c r="L28" s="20">
        <v>263035</v>
      </c>
      <c r="M28" s="12">
        <v>275330</v>
      </c>
    </row>
    <row r="29" spans="1:18">
      <c r="B29" t="s">
        <v>42</v>
      </c>
      <c r="C29" s="20">
        <v>108577</v>
      </c>
      <c r="D29" s="20">
        <v>108873</v>
      </c>
      <c r="E29" s="20">
        <v>117767</v>
      </c>
      <c r="F29" s="20">
        <v>114560</v>
      </c>
      <c r="G29" s="20">
        <v>121394</v>
      </c>
      <c r="H29" s="20">
        <v>123946</v>
      </c>
      <c r="I29" s="20">
        <v>121980</v>
      </c>
      <c r="J29" s="20">
        <v>145493</v>
      </c>
      <c r="K29" s="20">
        <v>138658</v>
      </c>
      <c r="L29" s="20">
        <v>154684</v>
      </c>
      <c r="M29" s="12">
        <v>183859</v>
      </c>
    </row>
    <row r="30" spans="1:18">
      <c r="B30" s="8" t="s">
        <v>142</v>
      </c>
      <c r="C30" s="13">
        <f t="shared" ref="C30:L30" si="16">SUM(C28:C29)</f>
        <v>292721</v>
      </c>
      <c r="D30" s="13">
        <f t="shared" si="16"/>
        <v>286845</v>
      </c>
      <c r="E30" s="13">
        <f t="shared" si="16"/>
        <v>284068</v>
      </c>
      <c r="F30" s="13">
        <f t="shared" si="16"/>
        <v>281181</v>
      </c>
      <c r="G30" s="13">
        <f t="shared" si="16"/>
        <v>304649</v>
      </c>
      <c r="H30" s="13">
        <f t="shared" si="16"/>
        <v>314956</v>
      </c>
      <c r="I30" s="13">
        <f t="shared" si="16"/>
        <v>307461</v>
      </c>
      <c r="J30" s="13">
        <f t="shared" si="16"/>
        <v>369863</v>
      </c>
      <c r="K30" s="13">
        <f t="shared" si="16"/>
        <v>402713</v>
      </c>
      <c r="L30" s="13">
        <f t="shared" si="16"/>
        <v>417719</v>
      </c>
      <c r="M30" s="13">
        <f>SUM(M28:M29)</f>
        <v>459189</v>
      </c>
    </row>
    <row r="32" spans="1:18">
      <c r="B32" t="s">
        <v>143</v>
      </c>
      <c r="C32" s="24">
        <f t="shared" ref="C32:L32" si="17">C28/C$30</f>
        <v>0.62907683425514394</v>
      </c>
      <c r="D32" s="24">
        <f t="shared" si="17"/>
        <v>0.62044658264916597</v>
      </c>
      <c r="E32" s="24">
        <f t="shared" si="17"/>
        <v>0.58542672881141133</v>
      </c>
      <c r="F32" s="24">
        <f t="shared" si="17"/>
        <v>0.59257560076961102</v>
      </c>
      <c r="G32" s="24">
        <f t="shared" si="17"/>
        <v>0.60152831619338976</v>
      </c>
      <c r="H32" s="24">
        <f t="shared" si="17"/>
        <v>0.60646566504527621</v>
      </c>
      <c r="I32" s="24">
        <f t="shared" si="17"/>
        <v>0.6032667557836604</v>
      </c>
      <c r="J32" s="24">
        <f t="shared" si="17"/>
        <v>0.60663002246777864</v>
      </c>
      <c r="K32" s="24">
        <f t="shared" si="17"/>
        <v>0.6556902806713466</v>
      </c>
      <c r="L32" s="24">
        <f t="shared" si="17"/>
        <v>0.62969364572834852</v>
      </c>
      <c r="M32" s="24">
        <f>M28/M$30</f>
        <v>0.5996006001885934</v>
      </c>
    </row>
    <row r="33" spans="1:18">
      <c r="B33" t="s">
        <v>144</v>
      </c>
      <c r="C33" s="24">
        <f t="shared" ref="C33:L33" si="18">C29/C$30</f>
        <v>0.37092316574485601</v>
      </c>
      <c r="D33" s="24">
        <f t="shared" si="18"/>
        <v>0.37955341735083409</v>
      </c>
      <c r="E33" s="24">
        <f t="shared" si="18"/>
        <v>0.41457327118858867</v>
      </c>
      <c r="F33" s="24">
        <f t="shared" si="18"/>
        <v>0.40742439923038898</v>
      </c>
      <c r="G33" s="24">
        <f t="shared" si="18"/>
        <v>0.39847168380661024</v>
      </c>
      <c r="H33" s="24">
        <f t="shared" si="18"/>
        <v>0.39353433495472384</v>
      </c>
      <c r="I33" s="24">
        <f t="shared" si="18"/>
        <v>0.39673324421633965</v>
      </c>
      <c r="J33" s="24">
        <f t="shared" si="18"/>
        <v>0.39336997753222142</v>
      </c>
      <c r="K33" s="24">
        <f t="shared" si="18"/>
        <v>0.3443097193286534</v>
      </c>
      <c r="L33" s="24">
        <f t="shared" si="18"/>
        <v>0.37030635427165154</v>
      </c>
      <c r="M33" s="24">
        <f>M29/M$30</f>
        <v>0.40039939981140665</v>
      </c>
    </row>
    <row r="35" spans="1:18">
      <c r="B35" t="s">
        <v>145</v>
      </c>
      <c r="C35" s="47">
        <f t="shared" ref="C35:J35" si="19">C$26*C32</f>
        <v>2040.0961734894317</v>
      </c>
      <c r="D35" s="47">
        <f t="shared" si="19"/>
        <v>2125.0295455733935</v>
      </c>
      <c r="E35" s="47">
        <f t="shared" si="19"/>
        <v>2042.5538568230143</v>
      </c>
      <c r="F35" s="47">
        <f t="shared" si="19"/>
        <v>2305.1190869937868</v>
      </c>
      <c r="G35" s="47">
        <f t="shared" si="19"/>
        <v>2916.8108052217467</v>
      </c>
      <c r="H35" s="47">
        <f t="shared" si="19"/>
        <v>2963.7977050762647</v>
      </c>
      <c r="I35" s="47">
        <f t="shared" si="19"/>
        <v>3311.9344892522954</v>
      </c>
      <c r="J35" s="47">
        <f t="shared" si="19"/>
        <v>3378.9292251455272</v>
      </c>
      <c r="K35" s="47">
        <f t="shared" ref="K35:M36" si="20">K$26*K32</f>
        <v>4498.035325405438</v>
      </c>
      <c r="L35" s="47">
        <f t="shared" si="20"/>
        <v>4499.7907923747789</v>
      </c>
      <c r="M35" s="47">
        <f t="shared" si="20"/>
        <v>5006.6650115747552</v>
      </c>
    </row>
    <row r="36" spans="1:18">
      <c r="B36" t="s">
        <v>146</v>
      </c>
      <c r="C36" s="22">
        <f t="shared" ref="C36:J36" si="21">C$26*C33</f>
        <v>1202.903826510568</v>
      </c>
      <c r="D36" s="22">
        <f t="shared" si="21"/>
        <v>1299.9704544266067</v>
      </c>
      <c r="E36" s="22">
        <f t="shared" si="21"/>
        <v>1446.4461431769857</v>
      </c>
      <c r="F36" s="22">
        <f t="shared" si="21"/>
        <v>1584.8809130062132</v>
      </c>
      <c r="G36" s="22">
        <f t="shared" si="21"/>
        <v>1932.1891947782531</v>
      </c>
      <c r="H36" s="22">
        <f t="shared" si="21"/>
        <v>1923.2022949237355</v>
      </c>
      <c r="I36" s="22">
        <f t="shared" si="21"/>
        <v>2178.0655107477046</v>
      </c>
      <c r="J36" s="22">
        <f t="shared" si="21"/>
        <v>2191.0707748544733</v>
      </c>
      <c r="K36" s="22">
        <f t="shared" si="20"/>
        <v>2361.9646745945624</v>
      </c>
      <c r="L36" s="22">
        <f t="shared" si="20"/>
        <v>2646.209207625222</v>
      </c>
      <c r="M36" s="22">
        <f t="shared" si="20"/>
        <v>3343.3349884252457</v>
      </c>
    </row>
    <row r="37" spans="1:18">
      <c r="B37" s="8" t="s">
        <v>147</v>
      </c>
      <c r="C37" s="13">
        <f t="shared" ref="C37:J37" si="22">SUM(C35:C36)</f>
        <v>3243</v>
      </c>
      <c r="D37" s="13">
        <f t="shared" si="22"/>
        <v>3425</v>
      </c>
      <c r="E37" s="13">
        <f t="shared" si="22"/>
        <v>3489</v>
      </c>
      <c r="F37" s="13">
        <f t="shared" si="22"/>
        <v>3890</v>
      </c>
      <c r="G37" s="13">
        <f t="shared" si="22"/>
        <v>4849</v>
      </c>
      <c r="H37" s="13">
        <f t="shared" si="22"/>
        <v>4887</v>
      </c>
      <c r="I37" s="13">
        <f t="shared" si="22"/>
        <v>5490</v>
      </c>
      <c r="J37" s="13">
        <f t="shared" si="22"/>
        <v>5570</v>
      </c>
      <c r="K37" s="13">
        <f>SUM(K35:K36)</f>
        <v>6860</v>
      </c>
      <c r="L37" s="13">
        <f>SUM(L35:L36)</f>
        <v>7146.0000000000009</v>
      </c>
      <c r="M37" s="13">
        <f>SUM(M35:M36)</f>
        <v>8350</v>
      </c>
    </row>
    <row r="39" spans="1:18">
      <c r="B39" t="s">
        <v>148</v>
      </c>
      <c r="C39" s="47">
        <f t="shared" ref="C39:J39" si="23">C28-C35</f>
        <v>182103.90382651056</v>
      </c>
      <c r="D39" s="47">
        <f t="shared" si="23"/>
        <v>175846.9704544266</v>
      </c>
      <c r="E39" s="47">
        <f t="shared" si="23"/>
        <v>164258.44614317699</v>
      </c>
      <c r="F39" s="47">
        <f t="shared" si="23"/>
        <v>164315.8809130062</v>
      </c>
      <c r="G39" s="47">
        <f t="shared" si="23"/>
        <v>180338.18919477824</v>
      </c>
      <c r="H39" s="47">
        <f t="shared" si="23"/>
        <v>188046.20229492374</v>
      </c>
      <c r="I39" s="47">
        <f t="shared" si="23"/>
        <v>182169.06551074769</v>
      </c>
      <c r="J39" s="47">
        <f t="shared" si="23"/>
        <v>220991.07077485448</v>
      </c>
      <c r="K39" s="47">
        <f t="shared" ref="K39:M40" si="24">K28-K35</f>
        <v>259556.96467459455</v>
      </c>
      <c r="L39" s="47">
        <f t="shared" si="24"/>
        <v>258535.20920762522</v>
      </c>
      <c r="M39" s="47">
        <f t="shared" si="24"/>
        <v>270323.33498842525</v>
      </c>
    </row>
    <row r="40" spans="1:18">
      <c r="B40" t="s">
        <v>149</v>
      </c>
      <c r="C40" s="22">
        <f t="shared" ref="C40:J40" si="25">C29-C36</f>
        <v>107374.09617348944</v>
      </c>
      <c r="D40" s="22">
        <f t="shared" si="25"/>
        <v>107573.02954557339</v>
      </c>
      <c r="E40" s="22">
        <f t="shared" si="25"/>
        <v>116320.55385682301</v>
      </c>
      <c r="F40" s="22">
        <f t="shared" si="25"/>
        <v>112975.11908699379</v>
      </c>
      <c r="G40" s="22">
        <f t="shared" si="25"/>
        <v>119461.81080522174</v>
      </c>
      <c r="H40" s="22">
        <f t="shared" si="25"/>
        <v>122022.79770507627</v>
      </c>
      <c r="I40" s="22">
        <f t="shared" si="25"/>
        <v>119801.93448925229</v>
      </c>
      <c r="J40" s="22">
        <f t="shared" si="25"/>
        <v>143301.92922514552</v>
      </c>
      <c r="K40" s="22">
        <f t="shared" si="24"/>
        <v>136296.03532540545</v>
      </c>
      <c r="L40" s="22">
        <f t="shared" si="24"/>
        <v>152037.79079237478</v>
      </c>
      <c r="M40" s="22">
        <f t="shared" si="24"/>
        <v>180515.66501157475</v>
      </c>
    </row>
    <row r="42" spans="1:18">
      <c r="A42" s="1" t="s">
        <v>213</v>
      </c>
    </row>
    <row r="43" spans="1:18" ht="18" customHeight="1">
      <c r="B43" s="30" t="s">
        <v>7</v>
      </c>
      <c r="C43" s="39">
        <f>'Balance Sheet PROJECTED'!C8</f>
        <v>63618</v>
      </c>
      <c r="D43" s="39">
        <f>'Balance Sheet PROJECTED'!D8</f>
        <v>58750</v>
      </c>
      <c r="E43" s="39">
        <f>'Balance Sheet PROJECTED'!E8</f>
        <v>64680</v>
      </c>
      <c r="F43" s="39">
        <f>'Balance Sheet PROJECTED'!F8</f>
        <v>64259</v>
      </c>
      <c r="G43" s="39">
        <f>'Balance Sheet PROJECTED'!G8</f>
        <v>69025</v>
      </c>
      <c r="H43" s="39">
        <f>'Balance Sheet PROJECTED'!H8</f>
        <v>72864</v>
      </c>
      <c r="I43" s="39">
        <f>'Balance Sheet PROJECTED'!I8</f>
        <v>80672</v>
      </c>
      <c r="J43" s="39">
        <f>'Balance Sheet PROJECTED'!J8</f>
        <v>89558</v>
      </c>
      <c r="K43" s="39">
        <f>'Balance Sheet PROJECTED'!K8</f>
        <v>89930</v>
      </c>
      <c r="L43" s="39">
        <f>'Balance Sheet PROJECTED'!L8</f>
        <v>98039</v>
      </c>
      <c r="M43" s="39">
        <f>'Balance Sheet PROJECTED'!M8</f>
        <v>117493</v>
      </c>
      <c r="N43" s="39">
        <f>'Balance Sheet PROJECTED'!N8</f>
        <v>126379.198</v>
      </c>
      <c r="O43" s="39">
        <f>'Balance Sheet PROJECTED'!O8</f>
        <v>135225.74186000001</v>
      </c>
      <c r="P43" s="39">
        <f>'Balance Sheet PROJECTED'!P8</f>
        <v>144691.5437902</v>
      </c>
      <c r="Q43" s="39">
        <f>'Balance Sheet PROJECTED'!Q8</f>
        <v>154819.95185551402</v>
      </c>
      <c r="R43" s="39">
        <f>'Balance Sheet PROJECTED'!R8</f>
        <v>165657.3484854</v>
      </c>
    </row>
    <row r="44" spans="1:18" ht="18" customHeight="1">
      <c r="B44" s="30" t="s">
        <v>8</v>
      </c>
      <c r="C44" s="40">
        <f>'Balance Sheet PROJECTED'!C9</f>
        <v>34989</v>
      </c>
      <c r="D44" s="40">
        <f>'Balance Sheet PROJECTED'!D9</f>
        <v>32052</v>
      </c>
      <c r="E44" s="40">
        <f>'Balance Sheet PROJECTED'!E9</f>
        <v>31793</v>
      </c>
      <c r="F44" s="40">
        <f>'Balance Sheet PROJECTED'!F9</f>
        <v>35340</v>
      </c>
      <c r="G44" s="40">
        <f>'Balance Sheet PROJECTED'!G9</f>
        <v>36536</v>
      </c>
      <c r="H44" s="40">
        <f>'Balance Sheet PROJECTED'!H9</f>
        <v>40682</v>
      </c>
      <c r="I44" s="40">
        <f>'Balance Sheet PROJECTED'!I9</f>
        <v>41264</v>
      </c>
      <c r="J44" s="40">
        <f>'Balance Sheet PROJECTED'!J9</f>
        <v>55752</v>
      </c>
      <c r="K44" s="40">
        <f>'Balance Sheet PROJECTED'!K9</f>
        <v>104101</v>
      </c>
      <c r="L44" s="40">
        <f>'Balance Sheet PROJECTED'!L9</f>
        <v>86522</v>
      </c>
      <c r="M44" s="40">
        <f>'Balance Sheet PROJECTED'!M9</f>
        <v>79088</v>
      </c>
      <c r="N44" s="40">
        <f>'Balance Sheet PROJECTED'!N9</f>
        <v>73457.908837499999</v>
      </c>
      <c r="O44" s="40">
        <f>'Balance Sheet PROJECTED'!O9</f>
        <v>78599.962456125009</v>
      </c>
      <c r="P44" s="40">
        <f>'Balance Sheet PROJECTED'!P9</f>
        <v>84101.959828053761</v>
      </c>
      <c r="Q44" s="40">
        <f>'Balance Sheet PROJECTED'!Q9</f>
        <v>89989.09701601752</v>
      </c>
      <c r="R44" s="40">
        <f>'Balance Sheet PROJECTED'!R9</f>
        <v>96288.333807138755</v>
      </c>
    </row>
    <row r="45" spans="1:18" ht="18" customHeight="1">
      <c r="B45" s="30" t="s">
        <v>56</v>
      </c>
      <c r="C45" s="40">
        <f>'Balance Sheet PROJECTED'!C10</f>
        <v>5855</v>
      </c>
      <c r="D45" s="40">
        <f>'Balance Sheet PROJECTED'!D10</f>
        <v>5824</v>
      </c>
      <c r="E45" s="40">
        <f>'Balance Sheet PROJECTED'!E10</f>
        <v>0</v>
      </c>
      <c r="F45" s="40">
        <f>'Balance Sheet PROJECTED'!F10</f>
        <v>0</v>
      </c>
      <c r="G45" s="40">
        <f>'Balance Sheet PROJECTED'!G10</f>
        <v>0</v>
      </c>
      <c r="H45" s="40">
        <f>'Balance Sheet PROJECTED'!H10</f>
        <v>0</v>
      </c>
      <c r="I45" s="40">
        <f>'Balance Sheet PROJECTED'!I10</f>
        <v>0</v>
      </c>
      <c r="J45" s="40">
        <f>'Balance Sheet PROJECTED'!J10</f>
        <v>0</v>
      </c>
      <c r="K45" s="40">
        <f>'Balance Sheet PROJECTED'!K10</f>
        <v>0</v>
      </c>
      <c r="L45" s="40">
        <f>'Balance Sheet PROJECTED'!L10</f>
        <v>0</v>
      </c>
      <c r="M45" s="40">
        <f>'Balance Sheet PROJECTED'!M10</f>
        <v>0</v>
      </c>
      <c r="N45" s="40">
        <f>'Balance Sheet PROJECTED'!N10</f>
        <v>0</v>
      </c>
      <c r="O45" s="40">
        <f>'Balance Sheet PROJECTED'!O10</f>
        <v>0</v>
      </c>
      <c r="P45" s="40">
        <f>'Balance Sheet PROJECTED'!P10</f>
        <v>0</v>
      </c>
      <c r="Q45" s="40">
        <f>'Balance Sheet PROJECTED'!Q10</f>
        <v>0</v>
      </c>
      <c r="R45" s="40">
        <f>'Balance Sheet PROJECTED'!R10</f>
        <v>0</v>
      </c>
    </row>
    <row r="46" spans="1:18" ht="18" customHeight="1">
      <c r="B46" s="30" t="s">
        <v>9</v>
      </c>
      <c r="C46" s="40">
        <f>'Balance Sheet PROJECTED'!C11</f>
        <v>8339</v>
      </c>
      <c r="D46" s="40">
        <f>'Balance Sheet PROJECTED'!D11</f>
        <v>6127</v>
      </c>
      <c r="E46" s="40">
        <f>'Balance Sheet PROJECTED'!E11</f>
        <v>4475</v>
      </c>
      <c r="F46" s="40">
        <f>'Balance Sheet PROJECTED'!F11</f>
        <v>8007</v>
      </c>
      <c r="G46" s="40">
        <f>'Balance Sheet PROJECTED'!G11</f>
        <v>13337</v>
      </c>
      <c r="H46" s="40">
        <f>'Balance Sheet PROJECTED'!H11</f>
        <v>7216</v>
      </c>
      <c r="I46" s="40">
        <f>'Balance Sheet PROJECTED'!I11</f>
        <v>6756</v>
      </c>
      <c r="J46" s="40">
        <f>'Balance Sheet PROJECTED'!J11</f>
        <v>9948</v>
      </c>
      <c r="K46" s="40">
        <f>'Balance Sheet PROJECTED'!K11</f>
        <v>17766</v>
      </c>
      <c r="L46" s="40">
        <f>'Balance Sheet PROJECTED'!L11</f>
        <v>15821</v>
      </c>
      <c r="M46" s="40">
        <f>'Balance Sheet PROJECTED'!M11</f>
        <v>12161</v>
      </c>
      <c r="N46" s="40">
        <f>'Balance Sheet PROJECTED'!N11</f>
        <v>12637.9198</v>
      </c>
      <c r="O46" s="40">
        <f>'Balance Sheet PROJECTED'!O11</f>
        <v>13522.574186</v>
      </c>
      <c r="P46" s="40">
        <f>'Balance Sheet PROJECTED'!P11</f>
        <v>14469.154379020001</v>
      </c>
      <c r="Q46" s="40">
        <f>'Balance Sheet PROJECTED'!Q11</f>
        <v>15481.995185551401</v>
      </c>
      <c r="R46" s="40">
        <f>'Balance Sheet PROJECTED'!R11</f>
        <v>16565.73484854</v>
      </c>
    </row>
    <row r="47" spans="1:18">
      <c r="B47" s="8" t="s">
        <v>214</v>
      </c>
      <c r="C47" s="13">
        <f>SUM(C43:C46)</f>
        <v>112801</v>
      </c>
      <c r="D47" s="13">
        <f t="shared" ref="D47:N47" si="26">SUM(D43:D46)</f>
        <v>102753</v>
      </c>
      <c r="E47" s="13">
        <f t="shared" si="26"/>
        <v>100948</v>
      </c>
      <c r="F47" s="13">
        <f t="shared" si="26"/>
        <v>107606</v>
      </c>
      <c r="G47" s="13">
        <f t="shared" si="26"/>
        <v>118898</v>
      </c>
      <c r="H47" s="13">
        <f t="shared" si="26"/>
        <v>120762</v>
      </c>
      <c r="I47" s="13">
        <f t="shared" si="26"/>
        <v>128692</v>
      </c>
      <c r="J47" s="13">
        <f t="shared" si="26"/>
        <v>155258</v>
      </c>
      <c r="K47" s="13">
        <f t="shared" si="26"/>
        <v>211797</v>
      </c>
      <c r="L47" s="13">
        <f t="shared" si="26"/>
        <v>200382</v>
      </c>
      <c r="M47" s="13">
        <f t="shared" si="26"/>
        <v>208742</v>
      </c>
      <c r="N47" s="13">
        <f t="shared" si="26"/>
        <v>212475.02663750001</v>
      </c>
      <c r="O47" s="13">
        <f t="shared" ref="O47:R47" si="27">SUM(O43:O46)</f>
        <v>227348.27850212503</v>
      </c>
      <c r="P47" s="13">
        <f t="shared" si="27"/>
        <v>243262.65799727375</v>
      </c>
      <c r="Q47" s="13">
        <f t="shared" si="27"/>
        <v>260291.04405708297</v>
      </c>
      <c r="R47" s="13">
        <f t="shared" si="27"/>
        <v>278511.41714107874</v>
      </c>
    </row>
    <row r="48" spans="1:18" ht="18" customHeight="1">
      <c r="B48" s="30" t="s">
        <v>19</v>
      </c>
      <c r="C48" s="40">
        <f>'Balance Sheet PROJECTED'!C22</f>
        <v>18031</v>
      </c>
      <c r="D48" s="40">
        <f>'Balance Sheet PROJECTED'!D22</f>
        <v>17128</v>
      </c>
      <c r="E48" s="40">
        <f>'Balance Sheet PROJECTED'!E22</f>
        <v>18690</v>
      </c>
      <c r="F48" s="40">
        <f>'Balance Sheet PROJECTED'!F22</f>
        <v>20898</v>
      </c>
      <c r="G48" s="40">
        <f>'Balance Sheet PROJECTED'!G22</f>
        <v>19115</v>
      </c>
      <c r="H48" s="40">
        <f>'Balance Sheet PROJECTED'!H22</f>
        <v>18727</v>
      </c>
      <c r="I48" s="40">
        <f>'Balance Sheet PROJECTED'!I22</f>
        <v>21676</v>
      </c>
      <c r="J48" s="40">
        <f>'Balance Sheet PROJECTED'!J22</f>
        <v>33499</v>
      </c>
      <c r="K48" s="40">
        <f>'Balance Sheet PROJECTED'!K22</f>
        <v>32852</v>
      </c>
      <c r="L48" s="40">
        <f>'Balance Sheet PROJECTED'!L22</f>
        <v>30826</v>
      </c>
      <c r="M48" s="40">
        <f>'Balance Sheet PROJECTED'!M22</f>
        <v>35960</v>
      </c>
      <c r="N48" s="40">
        <f>'Balance Sheet PROJECTED'!N22</f>
        <v>36435.122783400002</v>
      </c>
      <c r="O48" s="40">
        <f>'Balance Sheet PROJECTED'!O22</f>
        <v>38985.581378238006</v>
      </c>
      <c r="P48" s="40">
        <f>'Balance Sheet PROJECTED'!P22</f>
        <v>41714.572074714662</v>
      </c>
      <c r="Q48" s="40">
        <f>'Balance Sheet PROJECTED'!Q22</f>
        <v>44634.592119944689</v>
      </c>
      <c r="R48" s="40">
        <f>'Balance Sheet PROJECTED'!R22</f>
        <v>47759.013568340823</v>
      </c>
    </row>
    <row r="49" spans="2:18" ht="18" customHeight="1">
      <c r="B49" s="30" t="s">
        <v>20</v>
      </c>
      <c r="C49" s="40">
        <f>'Balance Sheet PROJECTED'!C23</f>
        <v>18382</v>
      </c>
      <c r="D49" s="40">
        <f>'Balance Sheet PROJECTED'!D23</f>
        <v>15200</v>
      </c>
      <c r="E49" s="40">
        <f>'Balance Sheet PROJECTED'!E23</f>
        <v>15757</v>
      </c>
      <c r="F49" s="40">
        <f>'Balance Sheet PROJECTED'!F23</f>
        <v>18997</v>
      </c>
      <c r="G49" s="40">
        <f>'Balance Sheet PROJECTED'!G23</f>
        <v>26240</v>
      </c>
      <c r="H49" s="40">
        <f>'Balance Sheet PROJECTED'!H23</f>
        <v>18513</v>
      </c>
      <c r="I49" s="40">
        <f>'Balance Sheet PROJECTED'!I23</f>
        <v>21660</v>
      </c>
      <c r="J49" s="40">
        <f>'Balance Sheet PROJECTED'!J23</f>
        <v>25658</v>
      </c>
      <c r="K49" s="40">
        <f>'Balance Sheet PROJECTED'!K23</f>
        <v>27161</v>
      </c>
      <c r="L49" s="40">
        <f>'Balance Sheet PROJECTED'!L23</f>
        <v>30000</v>
      </c>
      <c r="M49" s="40">
        <f>'Balance Sheet PROJECTED'!M23</f>
        <v>31272</v>
      </c>
      <c r="N49" s="40">
        <f>'Balance Sheet PROJECTED'!N23</f>
        <v>33490.48747</v>
      </c>
      <c r="O49" s="40">
        <f>'Balance Sheet PROJECTED'!O23</f>
        <v>35834.8215929</v>
      </c>
      <c r="P49" s="40">
        <f>'Balance Sheet PROJECTED'!P23</f>
        <v>38343.259104402998</v>
      </c>
      <c r="Q49" s="40">
        <f>'Balance Sheet PROJECTED'!Q23</f>
        <v>41027.287241711208</v>
      </c>
      <c r="R49" s="40">
        <f>'Balance Sheet PROJECTED'!R23</f>
        <v>43899.197348630994</v>
      </c>
    </row>
    <row r="50" spans="2:18" ht="18" customHeight="1">
      <c r="B50" s="30" t="s">
        <v>21</v>
      </c>
      <c r="C50" s="40">
        <f>'Balance Sheet PROJECTED'!C24</f>
        <v>15969</v>
      </c>
      <c r="D50" s="40">
        <f>'Balance Sheet PROJECTED'!D24</f>
        <v>13357</v>
      </c>
      <c r="E50" s="40">
        <f>'Balance Sheet PROJECTED'!E24</f>
        <v>20866</v>
      </c>
      <c r="F50" s="40">
        <f>'Balance Sheet PROJECTED'!F24</f>
        <v>14222</v>
      </c>
      <c r="G50" s="40">
        <f>'Balance Sheet PROJECTED'!G24</f>
        <v>14823</v>
      </c>
      <c r="H50" s="40">
        <f>'Balance Sheet PROJECTED'!H24</f>
        <v>15301</v>
      </c>
      <c r="I50" s="40">
        <f>'Balance Sheet PROJECTED'!I24</f>
        <v>14767</v>
      </c>
      <c r="J50" s="40">
        <f>'Balance Sheet PROJECTED'!J24</f>
        <v>25662</v>
      </c>
      <c r="K50" s="40">
        <f>'Balance Sheet PROJECTED'!K24</f>
        <v>11583</v>
      </c>
      <c r="L50" s="40">
        <f>'Balance Sheet PROJECTED'!L24</f>
        <v>16722</v>
      </c>
      <c r="M50" s="40">
        <f>'Balance Sheet PROJECTED'!M24</f>
        <v>26055</v>
      </c>
      <c r="N50" s="40">
        <f>'Balance Sheet PROJECTED'!N24</f>
        <v>25275.839599999999</v>
      </c>
      <c r="O50" s="40">
        <f>'Balance Sheet PROJECTED'!O24</f>
        <v>27045.148372</v>
      </c>
      <c r="P50" s="40">
        <f>'Balance Sheet PROJECTED'!P24</f>
        <v>28938.308758040002</v>
      </c>
      <c r="Q50" s="40">
        <f>'Balance Sheet PROJECTED'!Q24</f>
        <v>30963.990371102802</v>
      </c>
      <c r="R50" s="40">
        <f>'Balance Sheet PROJECTED'!R24</f>
        <v>33131.46969708</v>
      </c>
    </row>
    <row r="51" spans="2:18" ht="18" customHeight="1">
      <c r="B51" s="30" t="s">
        <v>23</v>
      </c>
      <c r="C51" s="40">
        <f>'Balance Sheet PROJECTED'!C28</f>
        <v>1529</v>
      </c>
      <c r="D51" s="40">
        <f>'Balance Sheet PROJECTED'!D28</f>
        <v>2287</v>
      </c>
      <c r="E51" s="40">
        <f>'Balance Sheet PROJECTED'!E28</f>
        <v>3381</v>
      </c>
      <c r="F51" s="40">
        <f>'Balance Sheet PROJECTED'!F28</f>
        <v>1306</v>
      </c>
      <c r="G51" s="40">
        <f>'Balance Sheet PROJECTED'!G28</f>
        <v>2125</v>
      </c>
      <c r="H51" s="40">
        <f>'Balance Sheet PROJECTED'!H28</f>
        <v>844</v>
      </c>
      <c r="I51" s="40">
        <f>'Balance Sheet PROJECTED'!I28</f>
        <v>1213</v>
      </c>
      <c r="J51" s="40">
        <f>'Balance Sheet PROJECTED'!J28</f>
        <v>317</v>
      </c>
      <c r="K51" s="40">
        <f>'Balance Sheet PROJECTED'!K28</f>
        <v>51</v>
      </c>
      <c r="L51" s="40">
        <f>'Balance Sheet PROJECTED'!L28</f>
        <v>494</v>
      </c>
      <c r="M51" s="40">
        <f>'Balance Sheet PROJECTED'!M28</f>
        <v>1554</v>
      </c>
      <c r="N51" s="40">
        <f>'Balance Sheet PROJECTED'!N28</f>
        <v>631.89598999999998</v>
      </c>
      <c r="O51" s="40">
        <f>'Balance Sheet PROJECTED'!O28</f>
        <v>676.12870929999997</v>
      </c>
      <c r="P51" s="40">
        <f>'Balance Sheet PROJECTED'!P28</f>
        <v>723.45771895100006</v>
      </c>
      <c r="Q51" s="40">
        <f>'Balance Sheet PROJECTED'!Q28</f>
        <v>774.09975927757012</v>
      </c>
      <c r="R51" s="40">
        <f>'Balance Sheet PROJECTED'!R28</f>
        <v>828.28674242699992</v>
      </c>
    </row>
    <row r="52" spans="2:18">
      <c r="B52" s="8" t="s">
        <v>215</v>
      </c>
      <c r="C52" s="13">
        <f>SUM(C48:C51)</f>
        <v>53911</v>
      </c>
      <c r="D52" s="13">
        <f t="shared" ref="D52:N52" si="28">SUM(D48:D51)</f>
        <v>47972</v>
      </c>
      <c r="E52" s="13">
        <f t="shared" si="28"/>
        <v>58694</v>
      </c>
      <c r="F52" s="13">
        <f t="shared" si="28"/>
        <v>55423</v>
      </c>
      <c r="G52" s="13">
        <f t="shared" si="28"/>
        <v>62303</v>
      </c>
      <c r="H52" s="13">
        <f t="shared" si="28"/>
        <v>53385</v>
      </c>
      <c r="I52" s="13">
        <f t="shared" si="28"/>
        <v>59316</v>
      </c>
      <c r="J52" s="13">
        <f t="shared" si="28"/>
        <v>85136</v>
      </c>
      <c r="K52" s="13">
        <f t="shared" si="28"/>
        <v>71647</v>
      </c>
      <c r="L52" s="13">
        <f t="shared" si="28"/>
        <v>78042</v>
      </c>
      <c r="M52" s="13">
        <f t="shared" si="28"/>
        <v>94841</v>
      </c>
      <c r="N52" s="13">
        <f t="shared" si="28"/>
        <v>95833.345843400006</v>
      </c>
      <c r="O52" s="13">
        <f t="shared" ref="O52:R52" si="29">SUM(O48:O51)</f>
        <v>102541.68005243801</v>
      </c>
      <c r="P52" s="13">
        <f t="shared" si="29"/>
        <v>109719.59765610867</v>
      </c>
      <c r="Q52" s="13">
        <f t="shared" si="29"/>
        <v>117399.96949203627</v>
      </c>
      <c r="R52" s="13">
        <f t="shared" si="29"/>
        <v>125617.96735647881</v>
      </c>
    </row>
    <row r="54" spans="2:18" ht="18" customHeight="1">
      <c r="B54" s="30" t="s">
        <v>216</v>
      </c>
      <c r="D54" s="77">
        <f>-(D47-C47)</f>
        <v>10048</v>
      </c>
      <c r="E54" s="77">
        <f t="shared" ref="E54:M54" si="30">-(E47-D47)</f>
        <v>1805</v>
      </c>
      <c r="F54" s="77">
        <f t="shared" si="30"/>
        <v>-6658</v>
      </c>
      <c r="G54" s="77">
        <f t="shared" si="30"/>
        <v>-11292</v>
      </c>
      <c r="H54" s="77">
        <f t="shared" si="30"/>
        <v>-1864</v>
      </c>
      <c r="I54" s="77">
        <f t="shared" si="30"/>
        <v>-7930</v>
      </c>
      <c r="J54" s="77">
        <f t="shared" si="30"/>
        <v>-26566</v>
      </c>
      <c r="K54" s="77">
        <f t="shared" si="30"/>
        <v>-56539</v>
      </c>
      <c r="L54" s="77">
        <f t="shared" si="30"/>
        <v>11415</v>
      </c>
      <c r="M54" s="77">
        <f t="shared" si="30"/>
        <v>-8360</v>
      </c>
      <c r="N54" s="77">
        <f t="shared" ref="N54" si="31">-(N47-M47)</f>
        <v>-3733.0266375000065</v>
      </c>
      <c r="O54" s="77">
        <f t="shared" ref="O54" si="32">-(O47-N47)</f>
        <v>-14873.251864625025</v>
      </c>
      <c r="P54" s="77">
        <f t="shared" ref="P54" si="33">-(P47-O47)</f>
        <v>-15914.379495148722</v>
      </c>
      <c r="Q54" s="77">
        <f t="shared" ref="Q54" si="34">-(Q47-P47)</f>
        <v>-17028.386059809214</v>
      </c>
      <c r="R54" s="77">
        <f t="shared" ref="R54" si="35">-(R47-Q47)</f>
        <v>-18220.373083995772</v>
      </c>
    </row>
    <row r="55" spans="2:18" ht="18" customHeight="1">
      <c r="B55" s="30" t="s">
        <v>217</v>
      </c>
      <c r="D55" s="73">
        <f>D52-C52</f>
        <v>-5939</v>
      </c>
      <c r="E55" s="73">
        <f t="shared" ref="E55:M55" si="36">E52-D52</f>
        <v>10722</v>
      </c>
      <c r="F55" s="73">
        <f t="shared" si="36"/>
        <v>-3271</v>
      </c>
      <c r="G55" s="73">
        <f t="shared" si="36"/>
        <v>6880</v>
      </c>
      <c r="H55" s="73">
        <f t="shared" si="36"/>
        <v>-8918</v>
      </c>
      <c r="I55" s="73">
        <f t="shared" si="36"/>
        <v>5931</v>
      </c>
      <c r="J55" s="73">
        <f t="shared" si="36"/>
        <v>25820</v>
      </c>
      <c r="K55" s="73">
        <f t="shared" si="36"/>
        <v>-13489</v>
      </c>
      <c r="L55" s="73">
        <f t="shared" si="36"/>
        <v>6395</v>
      </c>
      <c r="M55" s="73">
        <f t="shared" si="36"/>
        <v>16799</v>
      </c>
      <c r="N55" s="73">
        <f t="shared" ref="N55" si="37">N52-M52</f>
        <v>992.34584340000583</v>
      </c>
      <c r="O55" s="73">
        <f t="shared" ref="O55" si="38">O52-N52</f>
        <v>6708.3342090380029</v>
      </c>
      <c r="P55" s="73">
        <f t="shared" ref="P55" si="39">P52-O52</f>
        <v>7177.9176036706631</v>
      </c>
      <c r="Q55" s="73">
        <f t="shared" ref="Q55" si="40">Q52-P52</f>
        <v>7680.3718359275954</v>
      </c>
      <c r="R55" s="73">
        <f t="shared" ref="R55" si="41">R52-Q52</f>
        <v>8217.9978644425428</v>
      </c>
    </row>
    <row r="56" spans="2:18" ht="18" customHeight="1">
      <c r="B56" s="8" t="s">
        <v>218</v>
      </c>
      <c r="D56" s="13">
        <f>SUM(D54:D55)</f>
        <v>4109</v>
      </c>
      <c r="E56" s="13">
        <f t="shared" ref="E56:N56" si="42">SUM(E54:E55)</f>
        <v>12527</v>
      </c>
      <c r="F56" s="13">
        <f t="shared" si="42"/>
        <v>-9929</v>
      </c>
      <c r="G56" s="13">
        <f t="shared" si="42"/>
        <v>-4412</v>
      </c>
      <c r="H56" s="13">
        <f t="shared" si="42"/>
        <v>-10782</v>
      </c>
      <c r="I56" s="13">
        <f t="shared" si="42"/>
        <v>-1999</v>
      </c>
      <c r="J56" s="13">
        <f t="shared" si="42"/>
        <v>-746</v>
      </c>
      <c r="K56" s="13">
        <f t="shared" si="42"/>
        <v>-70028</v>
      </c>
      <c r="L56" s="13">
        <f t="shared" si="42"/>
        <v>17810</v>
      </c>
      <c r="M56" s="13">
        <f t="shared" si="42"/>
        <v>8439</v>
      </c>
      <c r="N56" s="13">
        <f t="shared" si="42"/>
        <v>-2740.6807941000006</v>
      </c>
      <c r="O56" s="13">
        <f t="shared" ref="O56:R56" si="43">SUM(O54:O55)</f>
        <v>-8164.9176555870217</v>
      </c>
      <c r="P56" s="13">
        <f t="shared" si="43"/>
        <v>-8736.4618914780585</v>
      </c>
      <c r="Q56" s="13">
        <f t="shared" si="43"/>
        <v>-9348.0142238816188</v>
      </c>
      <c r="R56" s="13">
        <f t="shared" si="43"/>
        <v>-10002.375219553229</v>
      </c>
    </row>
    <row r="58" spans="2:18" ht="18" customHeight="1">
      <c r="B58" s="30"/>
      <c r="C58" s="30"/>
      <c r="D58" s="30"/>
      <c r="H58" s="30"/>
    </row>
    <row r="59" spans="2:18" ht="18" customHeight="1">
      <c r="D59" s="30"/>
      <c r="H59" s="30"/>
    </row>
    <row r="61" spans="2:18" ht="18" customHeight="1">
      <c r="B61" s="30"/>
      <c r="C61" s="30"/>
      <c r="D61" s="30"/>
      <c r="H61" s="30"/>
    </row>
    <row r="62" spans="2:18" ht="18" customHeight="1">
      <c r="D62" s="30"/>
      <c r="H62" s="30"/>
    </row>
    <row r="64" spans="2:18" ht="18" customHeight="1">
      <c r="B64" s="30"/>
    </row>
  </sheetData>
  <pageMargins left="0.7" right="0.7" top="0.75" bottom="0.75" header="0.3" footer="0.3"/>
  <pageSetup scale="50"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4549-223B-4CAB-B9DE-23F4D161302F}">
  <sheetPr>
    <pageSetUpPr fitToPage="1"/>
  </sheetPr>
  <dimension ref="A1:R28"/>
  <sheetViews>
    <sheetView zoomScale="130" zoomScaleNormal="130" workbookViewId="0">
      <pane xSplit="2" ySplit="4" topLeftCell="C5" activePane="bottomRight" state="frozen"/>
      <selection activeCell="C38" sqref="C38"/>
      <selection pane="topRight" activeCell="C38" sqref="C38"/>
      <selection pane="bottomLeft" activeCell="C38" sqref="C38"/>
      <selection pane="bottomRight" activeCell="K5" sqref="K5"/>
    </sheetView>
  </sheetViews>
  <sheetFormatPr baseColWidth="10" defaultColWidth="8.625" defaultRowHeight="14" outlineLevelCol="1"/>
  <cols>
    <col min="1" max="1" width="3.375" customWidth="1"/>
    <col min="2" max="2" width="33.875" bestFit="1" customWidth="1"/>
    <col min="3" max="4" width="11.75" hidden="1" customWidth="1" outlineLevel="1"/>
    <col min="5" max="7" width="11.125" hidden="1" customWidth="1" outlineLevel="1"/>
    <col min="8" max="8" width="11.75" hidden="1" customWidth="1" outlineLevel="1"/>
    <col min="9" max="9" width="11.25" hidden="1" customWidth="1" outlineLevel="1"/>
    <col min="10" max="10" width="10.75" hidden="1" customWidth="1" outlineLevel="1"/>
    <col min="11" max="11" width="11.375" bestFit="1" customWidth="1" collapsed="1"/>
    <col min="12" max="12" width="11.25" bestFit="1" customWidth="1"/>
    <col min="13" max="13" width="11.375" bestFit="1" customWidth="1"/>
    <col min="14" max="18" width="11.75" customWidth="1"/>
  </cols>
  <sheetData>
    <row r="1" spans="1:18" ht="30">
      <c r="A1" s="4" t="s">
        <v>38</v>
      </c>
      <c r="B1" s="5"/>
      <c r="C1" s="5"/>
      <c r="D1" s="5"/>
      <c r="E1" s="5"/>
      <c r="F1" s="5"/>
      <c r="G1" s="5"/>
      <c r="H1" s="5"/>
      <c r="I1" s="5"/>
      <c r="J1" s="5"/>
      <c r="K1" s="5"/>
      <c r="L1" s="5"/>
      <c r="M1" s="5"/>
      <c r="N1" s="5"/>
      <c r="O1" s="5"/>
      <c r="P1" s="5"/>
      <c r="Q1" s="5"/>
      <c r="R1" s="5"/>
    </row>
    <row r="2" spans="1:18" ht="15" thickBot="1">
      <c r="B2" s="6" t="s">
        <v>5</v>
      </c>
    </row>
    <row r="3" spans="1:18" ht="15" thickBot="1">
      <c r="K3" s="54" t="s">
        <v>172</v>
      </c>
      <c r="L3" s="55"/>
      <c r="M3" s="56"/>
      <c r="N3" s="54" t="s">
        <v>173</v>
      </c>
      <c r="O3" s="55"/>
      <c r="P3" s="55"/>
      <c r="Q3" s="55"/>
      <c r="R3" s="56"/>
    </row>
    <row r="4" spans="1:18">
      <c r="C4" s="7">
        <v>41882</v>
      </c>
      <c r="D4" s="7">
        <v>42247</v>
      </c>
      <c r="E4" s="7">
        <v>42613</v>
      </c>
      <c r="F4" s="7">
        <v>42978</v>
      </c>
      <c r="G4" s="7">
        <v>43343</v>
      </c>
      <c r="H4" s="7">
        <v>43708</v>
      </c>
      <c r="I4" s="7">
        <v>44074</v>
      </c>
      <c r="J4" s="7">
        <v>44439</v>
      </c>
      <c r="K4" s="58">
        <v>44804</v>
      </c>
      <c r="L4" s="58">
        <v>45169</v>
      </c>
      <c r="M4" s="58">
        <v>45535</v>
      </c>
      <c r="N4" s="58">
        <v>45900</v>
      </c>
      <c r="O4" s="58">
        <v>46265</v>
      </c>
      <c r="P4" s="58">
        <v>46630</v>
      </c>
      <c r="Q4" s="58">
        <v>46996</v>
      </c>
      <c r="R4" s="58">
        <v>47361</v>
      </c>
    </row>
    <row r="5" spans="1:18">
      <c r="C5" s="21"/>
      <c r="D5" s="21"/>
      <c r="E5" s="18"/>
      <c r="F5" s="18"/>
      <c r="G5" s="18"/>
      <c r="H5" s="18"/>
      <c r="I5" s="18"/>
      <c r="J5" s="18"/>
      <c r="K5" s="59"/>
      <c r="L5" s="59"/>
      <c r="M5" s="60"/>
      <c r="N5" s="65"/>
      <c r="O5" s="59"/>
      <c r="P5" s="59"/>
      <c r="Q5" s="59"/>
      <c r="R5" s="59"/>
    </row>
    <row r="6" spans="1:18">
      <c r="B6" t="s">
        <v>39</v>
      </c>
      <c r="C6" s="19">
        <v>382997</v>
      </c>
      <c r="D6" s="19">
        <v>378150</v>
      </c>
      <c r="E6" s="19">
        <v>380670</v>
      </c>
      <c r="F6" s="19">
        <v>380506</v>
      </c>
      <c r="G6" s="19">
        <v>408518</v>
      </c>
      <c r="H6" s="19">
        <v>423350</v>
      </c>
      <c r="I6" s="19">
        <v>408498</v>
      </c>
      <c r="J6" s="19">
        <v>488109</v>
      </c>
      <c r="K6" s="19">
        <v>518820</v>
      </c>
      <c r="L6" s="19">
        <v>537255</v>
      </c>
      <c r="M6" s="11">
        <v>590557</v>
      </c>
      <c r="N6" s="65">
        <f>(1+Assumptions!T5)*'Income Statement'!M6</f>
        <v>631895.99</v>
      </c>
      <c r="O6" s="65">
        <f>(1+Assumptions!U5)*'Income Statement'!N6</f>
        <v>676128.70929999999</v>
      </c>
      <c r="P6" s="65">
        <f>(1+Assumptions!V5)*'Income Statement'!O6</f>
        <v>723457.71895100002</v>
      </c>
      <c r="Q6" s="65">
        <f>(1+Assumptions!W5)*'Income Statement'!P6</f>
        <v>774099.75927757006</v>
      </c>
      <c r="R6" s="65">
        <f>(1+Assumptions!X5)*'Income Statement'!Q6</f>
        <v>828286.74242699996</v>
      </c>
    </row>
    <row r="7" spans="1:18">
      <c r="B7" t="s">
        <v>148</v>
      </c>
      <c r="C7" s="51">
        <f>Calcs!C39</f>
        <v>182103.90382651056</v>
      </c>
      <c r="D7" s="51">
        <f>Calcs!D39</f>
        <v>175846.9704544266</v>
      </c>
      <c r="E7" s="51">
        <f>Calcs!E39</f>
        <v>164258.44614317699</v>
      </c>
      <c r="F7" s="51">
        <f>Calcs!F39</f>
        <v>164315.8809130062</v>
      </c>
      <c r="G7" s="51">
        <f>Calcs!G39</f>
        <v>180338.18919477824</v>
      </c>
      <c r="H7" s="51">
        <f>Calcs!H39</f>
        <v>188046.20229492374</v>
      </c>
      <c r="I7" s="51">
        <f>Calcs!I39</f>
        <v>182169.06551074769</v>
      </c>
      <c r="J7" s="51">
        <f>Calcs!J39</f>
        <v>220991.07077485448</v>
      </c>
      <c r="K7" s="51">
        <f>Calcs!K39</f>
        <v>259556.96467459455</v>
      </c>
      <c r="L7" s="51">
        <f>Calcs!L39</f>
        <v>258535.20920762522</v>
      </c>
      <c r="M7" s="51">
        <f>Calcs!M39</f>
        <v>270323.33498842525</v>
      </c>
      <c r="N7" s="66">
        <f>Assumptions!T6*'Income Statement'!N6</f>
        <v>293831.63535</v>
      </c>
      <c r="O7" s="66">
        <f>Assumptions!U6*'Income Statement'!O6</f>
        <v>314399.84982450004</v>
      </c>
      <c r="P7" s="66">
        <f>Assumptions!V6*'Income Statement'!P6</f>
        <v>336407.83931221504</v>
      </c>
      <c r="Q7" s="66">
        <f>Assumptions!W6*'Income Statement'!Q6</f>
        <v>359956.38806407008</v>
      </c>
      <c r="R7" s="66">
        <f>Assumptions!X6*'Income Statement'!R6</f>
        <v>385153.33522855502</v>
      </c>
    </row>
    <row r="8" spans="1:18">
      <c r="A8" s="9" t="s">
        <v>18</v>
      </c>
      <c r="B8" s="8" t="s">
        <v>41</v>
      </c>
      <c r="C8" s="13">
        <f t="shared" ref="C8:L8" si="0">C6-C7</f>
        <v>200893.09617348944</v>
      </c>
      <c r="D8" s="13">
        <f t="shared" si="0"/>
        <v>202303.0295455734</v>
      </c>
      <c r="E8" s="13">
        <f t="shared" si="0"/>
        <v>216411.55385682301</v>
      </c>
      <c r="F8" s="13">
        <f t="shared" si="0"/>
        <v>216190.1190869938</v>
      </c>
      <c r="G8" s="13">
        <f t="shared" si="0"/>
        <v>228179.81080522176</v>
      </c>
      <c r="H8" s="13">
        <f t="shared" si="0"/>
        <v>235303.79770507626</v>
      </c>
      <c r="I8" s="13">
        <f t="shared" si="0"/>
        <v>226328.93448925231</v>
      </c>
      <c r="J8" s="13">
        <f t="shared" si="0"/>
        <v>267117.92922514549</v>
      </c>
      <c r="K8" s="13">
        <f t="shared" si="0"/>
        <v>259263.03532540545</v>
      </c>
      <c r="L8" s="13">
        <f t="shared" si="0"/>
        <v>278719.79079237476</v>
      </c>
      <c r="M8" s="13">
        <f>M6-M7</f>
        <v>320233.66501157475</v>
      </c>
      <c r="N8" s="13">
        <f t="shared" ref="N8:R8" si="1">N6-N7</f>
        <v>338064.35464999999</v>
      </c>
      <c r="O8" s="13">
        <f t="shared" si="1"/>
        <v>361728.85947549995</v>
      </c>
      <c r="P8" s="13">
        <f t="shared" si="1"/>
        <v>387049.87963878497</v>
      </c>
      <c r="Q8" s="13">
        <f t="shared" si="1"/>
        <v>414143.37121349998</v>
      </c>
      <c r="R8" s="13">
        <f t="shared" si="1"/>
        <v>443133.40719844494</v>
      </c>
    </row>
    <row r="9" spans="1:18">
      <c r="B9" t="s">
        <v>149</v>
      </c>
      <c r="C9" s="51">
        <f>Calcs!C40</f>
        <v>107374.09617348944</v>
      </c>
      <c r="D9" s="51">
        <f>Calcs!D40</f>
        <v>107573.02954557339</v>
      </c>
      <c r="E9" s="51">
        <f>Calcs!E40</f>
        <v>116320.55385682301</v>
      </c>
      <c r="F9" s="51">
        <f>Calcs!F40</f>
        <v>112975.11908699379</v>
      </c>
      <c r="G9" s="51">
        <f>Calcs!G40</f>
        <v>119461.81080522174</v>
      </c>
      <c r="H9" s="51">
        <f>Calcs!H40</f>
        <v>122022.79770507627</v>
      </c>
      <c r="I9" s="51">
        <f>Calcs!I40</f>
        <v>119801.93448925229</v>
      </c>
      <c r="J9" s="51">
        <f>Calcs!J40</f>
        <v>143301.92922514552</v>
      </c>
      <c r="K9" s="51">
        <f>Calcs!K40</f>
        <v>136296.03532540545</v>
      </c>
      <c r="L9" s="51">
        <f>Calcs!L40</f>
        <v>152037.79079237478</v>
      </c>
      <c r="M9" s="51">
        <f>Calcs!M40</f>
        <v>180515.66501157475</v>
      </c>
      <c r="N9" s="66">
        <f>Assumptions!T7*'Income Statement'!N6</f>
        <v>180090.35715</v>
      </c>
      <c r="O9" s="66">
        <f>Assumptions!U7*'Income Statement'!O6</f>
        <v>192696.68215049998</v>
      </c>
      <c r="P9" s="66">
        <f>Assumptions!V7*'Income Statement'!P6</f>
        <v>206185.449901035</v>
      </c>
      <c r="Q9" s="66">
        <f>Assumptions!W7*'Income Statement'!Q6</f>
        <v>220618.43139410744</v>
      </c>
      <c r="R9" s="66">
        <f>Assumptions!X7*'Income Statement'!R6</f>
        <v>236061.72159169498</v>
      </c>
    </row>
    <row r="10" spans="1:18">
      <c r="B10" t="s">
        <v>43</v>
      </c>
      <c r="C10" s="20">
        <v>23922</v>
      </c>
      <c r="D10" s="20">
        <v>22876</v>
      </c>
      <c r="E10" s="20">
        <v>22278</v>
      </c>
      <c r="F10" s="20">
        <v>20537</v>
      </c>
      <c r="G10" s="20">
        <v>22314</v>
      </c>
      <c r="H10" s="20">
        <v>23306</v>
      </c>
      <c r="I10" s="20">
        <v>21606</v>
      </c>
      <c r="J10" s="20">
        <v>27956</v>
      </c>
      <c r="K10" s="20">
        <v>27343</v>
      </c>
      <c r="L10" s="20">
        <v>28807</v>
      </c>
      <c r="M10" s="12">
        <v>33911</v>
      </c>
      <c r="N10" s="66">
        <f>Assumptions!T8*'Income Statement'!N6</f>
        <v>37913.759399999995</v>
      </c>
      <c r="O10" s="66">
        <f>Assumptions!U8*'Income Statement'!O6</f>
        <v>40567.722558000001</v>
      </c>
      <c r="P10" s="66">
        <f>Assumptions!V8*'Income Statement'!P6</f>
        <v>43407.463137059996</v>
      </c>
      <c r="Q10" s="66">
        <f>Assumptions!W8*'Income Statement'!Q6</f>
        <v>46445.985556654203</v>
      </c>
      <c r="R10" s="66">
        <f>Assumptions!X8*'Income Statement'!R6</f>
        <v>49697.204545619999</v>
      </c>
    </row>
    <row r="11" spans="1:18">
      <c r="B11" s="8" t="s">
        <v>63</v>
      </c>
      <c r="C11" s="13">
        <f>C8-SUM(C9:C10)</f>
        <v>69597</v>
      </c>
      <c r="D11" s="13">
        <f t="shared" ref="D11:R11" si="2">D8-SUM(D9:D10)</f>
        <v>71854.000000000015</v>
      </c>
      <c r="E11" s="13">
        <f t="shared" si="2"/>
        <v>77813</v>
      </c>
      <c r="F11" s="13">
        <f t="shared" si="2"/>
        <v>82678</v>
      </c>
      <c r="G11" s="13">
        <f t="shared" si="2"/>
        <v>86404.000000000029</v>
      </c>
      <c r="H11" s="13">
        <f t="shared" si="2"/>
        <v>89974.999999999971</v>
      </c>
      <c r="I11" s="13">
        <f t="shared" si="2"/>
        <v>84921.000000000029</v>
      </c>
      <c r="J11" s="13">
        <f t="shared" si="2"/>
        <v>95859.999999999971</v>
      </c>
      <c r="K11" s="13">
        <f t="shared" si="2"/>
        <v>95624</v>
      </c>
      <c r="L11" s="13">
        <f t="shared" si="2"/>
        <v>97874.999999999971</v>
      </c>
      <c r="M11" s="13">
        <f t="shared" si="2"/>
        <v>105807</v>
      </c>
      <c r="N11" s="13">
        <f t="shared" si="2"/>
        <v>120060.23810000002</v>
      </c>
      <c r="O11" s="13">
        <f t="shared" si="2"/>
        <v>128464.45476699996</v>
      </c>
      <c r="P11" s="13">
        <f t="shared" si="2"/>
        <v>137456.96660068998</v>
      </c>
      <c r="Q11" s="13">
        <f t="shared" si="2"/>
        <v>147078.95426273835</v>
      </c>
      <c r="R11" s="13">
        <f t="shared" si="2"/>
        <v>157374.48106112995</v>
      </c>
    </row>
    <row r="12" spans="1:18">
      <c r="B12" t="s">
        <v>137</v>
      </c>
      <c r="C12" s="51">
        <f>Calcs!C26</f>
        <v>3243</v>
      </c>
      <c r="D12" s="51">
        <f>Calcs!D26</f>
        <v>3425</v>
      </c>
      <c r="E12" s="51">
        <f>Calcs!E26</f>
        <v>3489</v>
      </c>
      <c r="F12" s="51">
        <f>Calcs!F26</f>
        <v>3890</v>
      </c>
      <c r="G12" s="51">
        <f>Calcs!G26</f>
        <v>4849</v>
      </c>
      <c r="H12" s="51">
        <f>Calcs!H26</f>
        <v>4887</v>
      </c>
      <c r="I12" s="51">
        <f>Calcs!I26</f>
        <v>5490</v>
      </c>
      <c r="J12" s="51">
        <f>Calcs!J26</f>
        <v>5570</v>
      </c>
      <c r="K12" s="51">
        <f>Calcs!K26</f>
        <v>6860</v>
      </c>
      <c r="L12" s="51">
        <f>Calcs!L26</f>
        <v>7146</v>
      </c>
      <c r="M12" s="51">
        <f>Calcs!M26</f>
        <v>8350</v>
      </c>
      <c r="N12" s="51">
        <f>Calcs!N21</f>
        <v>8846.5438599999998</v>
      </c>
      <c r="O12" s="51">
        <f>Calcs!O21</f>
        <v>9465.8019301999993</v>
      </c>
      <c r="P12" s="51">
        <f>Calcs!P21</f>
        <v>10128.408065314001</v>
      </c>
      <c r="Q12" s="51">
        <f>Calcs!Q21</f>
        <v>10837.396629885981</v>
      </c>
      <c r="R12" s="51">
        <f>Calcs!R21</f>
        <v>11596.014393977999</v>
      </c>
    </row>
    <row r="13" spans="1:18">
      <c r="B13" t="s">
        <v>44</v>
      </c>
      <c r="C13" s="20">
        <v>2617</v>
      </c>
      <c r="D13" s="20">
        <v>3039</v>
      </c>
      <c r="E13" s="20">
        <v>2976</v>
      </c>
      <c r="F13" s="20">
        <v>2879</v>
      </c>
      <c r="G13" s="20">
        <v>2951</v>
      </c>
      <c r="H13" s="20">
        <v>2706</v>
      </c>
      <c r="I13" s="20">
        <v>2211</v>
      </c>
      <c r="J13" s="20">
        <v>1449</v>
      </c>
      <c r="K13" s="20">
        <v>1434</v>
      </c>
      <c r="L13" s="20">
        <v>1005</v>
      </c>
      <c r="M13" s="12">
        <v>1106</v>
      </c>
      <c r="N13" s="51">
        <f>Calcs!N15</f>
        <v>1263.79198</v>
      </c>
      <c r="O13" s="51">
        <f>Calcs!O15</f>
        <v>1352.2574185999999</v>
      </c>
      <c r="P13" s="51">
        <f>Calcs!P15</f>
        <v>1446.9154379020001</v>
      </c>
      <c r="Q13" s="51">
        <f>Calcs!Q15</f>
        <v>1548.1995185551402</v>
      </c>
      <c r="R13" s="51">
        <f>Calcs!R15</f>
        <v>610.83564494285952</v>
      </c>
    </row>
    <row r="14" spans="1:18">
      <c r="A14" s="9" t="s">
        <v>18</v>
      </c>
      <c r="B14" s="8" t="s">
        <v>64</v>
      </c>
      <c r="C14" s="13">
        <f>C11-SUM(C12:C13)</f>
        <v>63737</v>
      </c>
      <c r="D14" s="13">
        <f t="shared" ref="D14:R14" si="3">D11-SUM(D12:D13)</f>
        <v>65390.000000000015</v>
      </c>
      <c r="E14" s="13">
        <f t="shared" si="3"/>
        <v>71348</v>
      </c>
      <c r="F14" s="13">
        <f t="shared" si="3"/>
        <v>75909</v>
      </c>
      <c r="G14" s="13">
        <f t="shared" si="3"/>
        <v>78604.000000000029</v>
      </c>
      <c r="H14" s="13">
        <f t="shared" si="3"/>
        <v>82381.999999999971</v>
      </c>
      <c r="I14" s="13">
        <f t="shared" si="3"/>
        <v>77220.000000000029</v>
      </c>
      <c r="J14" s="13">
        <f t="shared" si="3"/>
        <v>88840.999999999971</v>
      </c>
      <c r="K14" s="13">
        <f t="shared" si="3"/>
        <v>87330</v>
      </c>
      <c r="L14" s="13">
        <f t="shared" si="3"/>
        <v>89723.999999999971</v>
      </c>
      <c r="M14" s="13">
        <f t="shared" si="3"/>
        <v>96351</v>
      </c>
      <c r="N14" s="13">
        <f t="shared" si="3"/>
        <v>109949.90226000002</v>
      </c>
      <c r="O14" s="13">
        <f t="shared" si="3"/>
        <v>117646.39541819996</v>
      </c>
      <c r="P14" s="13">
        <f t="shared" si="3"/>
        <v>125881.64309747398</v>
      </c>
      <c r="Q14" s="13">
        <f t="shared" si="3"/>
        <v>134693.35811429724</v>
      </c>
      <c r="R14" s="13">
        <f t="shared" si="3"/>
        <v>145167.6310222091</v>
      </c>
    </row>
    <row r="15" spans="1:18">
      <c r="B15" t="s">
        <v>45</v>
      </c>
      <c r="C15" s="20">
        <v>596</v>
      </c>
      <c r="D15" s="20">
        <v>584</v>
      </c>
      <c r="E15" s="20">
        <v>683</v>
      </c>
      <c r="F15" s="20">
        <v>508</v>
      </c>
      <c r="G15" s="20">
        <v>454</v>
      </c>
      <c r="H15" s="20">
        <v>155</v>
      </c>
      <c r="I15" s="20">
        <v>93</v>
      </c>
      <c r="J15" s="20">
        <v>81</v>
      </c>
      <c r="K15" s="20">
        <v>102</v>
      </c>
      <c r="L15" s="20">
        <v>231</v>
      </c>
      <c r="M15" s="12">
        <v>474</v>
      </c>
      <c r="N15" s="51">
        <f ca="1">Debt!E69</f>
        <v>2656.5305325101576</v>
      </c>
      <c r="O15" s="51">
        <f ca="1">Debt!F69</f>
        <v>3635.7325430583128</v>
      </c>
      <c r="P15" s="51">
        <f ca="1">Debt!G69</f>
        <v>4777.8769112967248</v>
      </c>
      <c r="Q15" s="51">
        <f ca="1">Debt!H69</f>
        <v>5425.3170453823868</v>
      </c>
      <c r="R15" s="51">
        <f ca="1">Debt!I69</f>
        <v>6185.6467680507167</v>
      </c>
    </row>
    <row r="16" spans="1:18">
      <c r="B16" t="s">
        <v>46</v>
      </c>
      <c r="C16" s="20">
        <v>-1002</v>
      </c>
      <c r="D16" s="20">
        <v>-1205</v>
      </c>
      <c r="E16" s="20">
        <v>-1703</v>
      </c>
      <c r="F16" s="20">
        <v>-2582</v>
      </c>
      <c r="G16" s="20">
        <v>-4219</v>
      </c>
      <c r="H16" s="20">
        <v>-2541</v>
      </c>
      <c r="I16" s="20">
        <v>-2439</v>
      </c>
      <c r="J16" s="20">
        <v>-2395</v>
      </c>
      <c r="K16" s="20">
        <v>-2742</v>
      </c>
      <c r="L16" s="20">
        <v>-5614</v>
      </c>
      <c r="M16" s="12">
        <v>-4287</v>
      </c>
      <c r="N16" s="51">
        <f ca="1">-Debt!E59</f>
        <v>-3440.9136000000003</v>
      </c>
      <c r="O16" s="51">
        <f ca="1">-Debt!F59</f>
        <v>-3057.4928</v>
      </c>
      <c r="P16" s="51">
        <f ca="1">-Debt!G59</f>
        <v>-2674.0720000000001</v>
      </c>
      <c r="Q16" s="51">
        <f ca="1">-Debt!H59</f>
        <v>-1965.6511999999998</v>
      </c>
      <c r="R16" s="51">
        <f ca="1">-Debt!I59</f>
        <v>-1257.2303999999999</v>
      </c>
    </row>
    <row r="17" spans="1:18">
      <c r="B17" t="s">
        <v>47</v>
      </c>
      <c r="C17" s="20">
        <v>-372</v>
      </c>
      <c r="D17" s="20">
        <v>-1659</v>
      </c>
      <c r="E17" s="20">
        <v>2461</v>
      </c>
      <c r="F17" s="20">
        <v>787</v>
      </c>
      <c r="G17" s="20">
        <v>339</v>
      </c>
      <c r="H17" s="20">
        <v>774</v>
      </c>
      <c r="I17" s="20">
        <v>641</v>
      </c>
      <c r="J17" s="20">
        <v>-28</v>
      </c>
      <c r="K17" s="20">
        <v>-582</v>
      </c>
      <c r="L17" s="20">
        <v>822</v>
      </c>
      <c r="M17" s="12">
        <v>-1030</v>
      </c>
      <c r="N17" s="66">
        <f>Assumptions!T10*'Income Statement'!N6</f>
        <v>0</v>
      </c>
      <c r="O17" s="66">
        <f>Assumptions!U10*'Income Statement'!O6</f>
        <v>0</v>
      </c>
      <c r="P17" s="66">
        <f>Assumptions!V10*'Income Statement'!P6</f>
        <v>0</v>
      </c>
      <c r="Q17" s="66">
        <f>Assumptions!W10*'Income Statement'!Q6</f>
        <v>0</v>
      </c>
      <c r="R17" s="66">
        <f>Assumptions!X10*'Income Statement'!R6</f>
        <v>0</v>
      </c>
    </row>
    <row r="18" spans="1:18">
      <c r="A18" s="9" t="s">
        <v>18</v>
      </c>
      <c r="B18" s="8" t="s">
        <v>65</v>
      </c>
      <c r="C18" s="13">
        <f t="shared" ref="C18:L18" si="4">SUM(C14:C17)</f>
        <v>62959</v>
      </c>
      <c r="D18" s="13">
        <f t="shared" si="4"/>
        <v>63110.000000000015</v>
      </c>
      <c r="E18" s="13">
        <f t="shared" si="4"/>
        <v>72789</v>
      </c>
      <c r="F18" s="13">
        <f t="shared" si="4"/>
        <v>74622</v>
      </c>
      <c r="G18" s="13">
        <f t="shared" si="4"/>
        <v>75178.000000000029</v>
      </c>
      <c r="H18" s="13">
        <f t="shared" si="4"/>
        <v>80769.999999999971</v>
      </c>
      <c r="I18" s="13">
        <f t="shared" si="4"/>
        <v>75515.000000000029</v>
      </c>
      <c r="J18" s="13">
        <f t="shared" si="4"/>
        <v>86498.999999999971</v>
      </c>
      <c r="K18" s="13">
        <f t="shared" si="4"/>
        <v>84108</v>
      </c>
      <c r="L18" s="13">
        <f t="shared" si="4"/>
        <v>85162.999999999971</v>
      </c>
      <c r="M18" s="13">
        <f>SUM(M14:M17)</f>
        <v>91508</v>
      </c>
      <c r="N18" s="13">
        <f t="shared" ref="N18:R18" ca="1" si="5">SUM(N14:N17)</f>
        <v>109165.51919251017</v>
      </c>
      <c r="O18" s="13">
        <f t="shared" ca="1" si="5"/>
        <v>118224.63516125828</v>
      </c>
      <c r="P18" s="13">
        <f t="shared" ca="1" si="5"/>
        <v>127985.44800877071</v>
      </c>
      <c r="Q18" s="13">
        <f t="shared" ca="1" si="5"/>
        <v>138153.02395967965</v>
      </c>
      <c r="R18" s="13">
        <f t="shared" ca="1" si="5"/>
        <v>150096.0473902598</v>
      </c>
    </row>
    <row r="19" spans="1:18">
      <c r="B19" t="s">
        <v>48</v>
      </c>
      <c r="C19" s="20">
        <v>19213</v>
      </c>
      <c r="D19" s="20">
        <v>18303</v>
      </c>
      <c r="E19" s="20">
        <v>20161</v>
      </c>
      <c r="F19" s="20">
        <v>21692</v>
      </c>
      <c r="G19" s="20">
        <v>9963</v>
      </c>
      <c r="H19" s="20">
        <v>24862</v>
      </c>
      <c r="I19" s="20">
        <v>14805</v>
      </c>
      <c r="J19" s="20">
        <v>16270</v>
      </c>
      <c r="K19" s="20">
        <v>16779</v>
      </c>
      <c r="L19" s="20">
        <v>19170</v>
      </c>
      <c r="M19" s="12">
        <v>21864</v>
      </c>
      <c r="N19" s="66">
        <f ca="1">Assumptions!T11*'Income Statement'!N18</f>
        <v>25108.069414277339</v>
      </c>
      <c r="O19" s="66">
        <f ca="1">Assumptions!U11*'Income Statement'!O18</f>
        <v>27191.666087089405</v>
      </c>
      <c r="P19" s="66">
        <f ca="1">Assumptions!V11*'Income Statement'!P18</f>
        <v>29436.653042017264</v>
      </c>
      <c r="Q19" s="66">
        <f ca="1">Assumptions!W11*'Income Statement'!Q18</f>
        <v>31775.19551072632</v>
      </c>
      <c r="R19" s="66">
        <f ca="1">Assumptions!X11*'Income Statement'!R18</f>
        <v>34522.090899759758</v>
      </c>
    </row>
    <row r="20" spans="1:18">
      <c r="A20" s="9" t="s">
        <v>18</v>
      </c>
      <c r="B20" s="8" t="s">
        <v>49</v>
      </c>
      <c r="C20" s="13">
        <f t="shared" ref="C20:L20" si="6">C18-C19</f>
        <v>43746</v>
      </c>
      <c r="D20" s="13">
        <f t="shared" si="6"/>
        <v>44807.000000000015</v>
      </c>
      <c r="E20" s="13">
        <f t="shared" si="6"/>
        <v>52628</v>
      </c>
      <c r="F20" s="13">
        <f t="shared" si="6"/>
        <v>52930</v>
      </c>
      <c r="G20" s="13">
        <f t="shared" si="6"/>
        <v>65215.000000000029</v>
      </c>
      <c r="H20" s="13">
        <f t="shared" si="6"/>
        <v>55907.999999999971</v>
      </c>
      <c r="I20" s="13">
        <f t="shared" si="6"/>
        <v>60710.000000000029</v>
      </c>
      <c r="J20" s="13">
        <f t="shared" si="6"/>
        <v>70228.999999999971</v>
      </c>
      <c r="K20" s="13">
        <f t="shared" si="6"/>
        <v>67329</v>
      </c>
      <c r="L20" s="13">
        <f t="shared" si="6"/>
        <v>65992.999999999971</v>
      </c>
      <c r="M20" s="13">
        <f>M18-M19</f>
        <v>69644</v>
      </c>
      <c r="N20" s="13">
        <f t="shared" ref="N20:R20" ca="1" si="7">N18-N19</f>
        <v>84057.449778232825</v>
      </c>
      <c r="O20" s="13">
        <f t="shared" ca="1" si="7"/>
        <v>91032.969074168883</v>
      </c>
      <c r="P20" s="13">
        <f t="shared" ca="1" si="7"/>
        <v>98548.794966753441</v>
      </c>
      <c r="Q20" s="13">
        <f t="shared" ca="1" si="7"/>
        <v>106377.82844895333</v>
      </c>
      <c r="R20" s="13">
        <f t="shared" ca="1" si="7"/>
        <v>115573.95649050004</v>
      </c>
    </row>
    <row r="21" spans="1:18">
      <c r="C21" s="18"/>
      <c r="D21" s="18"/>
      <c r="E21" s="18"/>
      <c r="F21" s="18"/>
      <c r="G21" s="18"/>
      <c r="H21" s="18"/>
      <c r="I21" s="18"/>
      <c r="J21" s="18"/>
      <c r="K21" s="18"/>
      <c r="L21" s="18"/>
    </row>
    <row r="22" spans="1:18">
      <c r="A22" s="9" t="s">
        <v>18</v>
      </c>
      <c r="B22" s="1" t="s">
        <v>50</v>
      </c>
      <c r="C22" s="18"/>
      <c r="D22" s="18"/>
      <c r="E22" s="18"/>
      <c r="F22" s="18"/>
      <c r="G22" s="18"/>
      <c r="H22" s="18"/>
      <c r="I22" s="18"/>
      <c r="J22" s="18"/>
      <c r="K22" s="18"/>
      <c r="L22" s="18"/>
    </row>
    <row r="23" spans="1:18">
      <c r="B23" s="16" t="s">
        <v>51</v>
      </c>
      <c r="C23" s="17">
        <f t="shared" ref="C23" si="8">C$20/C27</f>
        <v>2.9024681528662422</v>
      </c>
      <c r="D23" s="17">
        <f t="shared" ref="D23:L24" si="9">D$20/D27</f>
        <v>3.0727609381429168</v>
      </c>
      <c r="E23" s="17">
        <f t="shared" si="9"/>
        <v>3.6720625174434831</v>
      </c>
      <c r="F23" s="17">
        <f t="shared" si="9"/>
        <v>3.7568315707289375</v>
      </c>
      <c r="G23" s="17">
        <f t="shared" si="9"/>
        <v>4.6819585038409093</v>
      </c>
      <c r="H23" s="17">
        <f t="shared" si="9"/>
        <v>4.0515979418798445</v>
      </c>
      <c r="I23" s="17">
        <f t="shared" si="9"/>
        <v>4.434299905047113</v>
      </c>
      <c r="J23" s="17">
        <f t="shared" si="9"/>
        <v>5.1269528398306301</v>
      </c>
      <c r="K23" s="17">
        <f t="shared" si="9"/>
        <v>4.9260316066725194</v>
      </c>
      <c r="L23" s="17">
        <f t="shared" si="9"/>
        <v>4.8602887023125625</v>
      </c>
      <c r="M23" s="17">
        <f t="shared" ref="M23:R23" si="10">M$20/M27</f>
        <v>5.1382617677438391</v>
      </c>
      <c r="N23" s="17">
        <f t="shared" ca="1" si="10"/>
        <v>6.2016710770424099</v>
      </c>
      <c r="O23" s="17">
        <f t="shared" ca="1" si="10"/>
        <v>6.7163176238873312</v>
      </c>
      <c r="P23" s="17">
        <f t="shared" ca="1" si="10"/>
        <v>7.2708274285637779</v>
      </c>
      <c r="Q23" s="17">
        <f t="shared" ca="1" si="10"/>
        <v>7.8484453629152524</v>
      </c>
      <c r="R23" s="17">
        <f t="shared" ca="1" si="10"/>
        <v>8.5269261096724254</v>
      </c>
    </row>
    <row r="24" spans="1:18">
      <c r="B24" s="16" t="s">
        <v>52</v>
      </c>
      <c r="C24" s="17">
        <f t="shared" ref="C24" si="11">C$20/C28</f>
        <v>2.8879059941906524</v>
      </c>
      <c r="D24" s="17">
        <f t="shared" si="9"/>
        <v>3.0587070789815014</v>
      </c>
      <c r="E24" s="17">
        <f t="shared" si="9"/>
        <v>3.6600598094443284</v>
      </c>
      <c r="F24" s="17">
        <f t="shared" si="9"/>
        <v>3.7477872973164343</v>
      </c>
      <c r="G24" s="17">
        <f t="shared" si="9"/>
        <v>4.6708924222890724</v>
      </c>
      <c r="H24" s="17">
        <f t="shared" si="9"/>
        <v>4.0425162689804752</v>
      </c>
      <c r="I24" s="17">
        <f t="shared" si="9"/>
        <v>4.4252496537648538</v>
      </c>
      <c r="J24" s="17">
        <f t="shared" si="9"/>
        <v>5.1138862593752252</v>
      </c>
      <c r="K24" s="17">
        <f t="shared" si="9"/>
        <v>4.9159608644859816</v>
      </c>
      <c r="L24" s="17">
        <f t="shared" si="9"/>
        <v>4.8509997059688308</v>
      </c>
      <c r="M24" s="17">
        <f t="shared" ref="M24:R24" si="12">M$20/M28</f>
        <v>5.1284241531664216</v>
      </c>
      <c r="N24" s="17">
        <f t="shared" ca="1" si="12"/>
        <v>6.18979747998769</v>
      </c>
      <c r="O24" s="17">
        <f t="shared" ca="1" si="12"/>
        <v>6.7034586947105215</v>
      </c>
      <c r="P24" s="17">
        <f t="shared" ca="1" si="12"/>
        <v>7.2569068458581327</v>
      </c>
      <c r="Q24" s="17">
        <f t="shared" ca="1" si="12"/>
        <v>7.8334188843117323</v>
      </c>
      <c r="R24" s="17">
        <f t="shared" ca="1" si="12"/>
        <v>8.510600625220917</v>
      </c>
    </row>
    <row r="25" spans="1:18">
      <c r="C25" s="18"/>
      <c r="D25" s="18"/>
      <c r="E25" s="18"/>
      <c r="F25" s="18"/>
      <c r="G25" s="18"/>
      <c r="H25" s="18"/>
      <c r="I25" s="18"/>
      <c r="J25" s="18"/>
      <c r="K25" s="18"/>
      <c r="L25" s="18"/>
    </row>
    <row r="26" spans="1:18">
      <c r="A26" s="9" t="s">
        <v>18</v>
      </c>
      <c r="B26" s="1" t="s">
        <v>53</v>
      </c>
      <c r="C26" s="18"/>
      <c r="D26" s="18"/>
      <c r="E26" s="18"/>
      <c r="F26" s="18"/>
      <c r="G26" s="18"/>
      <c r="H26" s="18"/>
      <c r="I26" s="18"/>
      <c r="J26" s="18"/>
      <c r="K26" s="18"/>
      <c r="L26" s="18"/>
    </row>
    <row r="27" spans="1:18">
      <c r="B27" s="16" t="s">
        <v>51</v>
      </c>
      <c r="C27" s="20">
        <v>15072</v>
      </c>
      <c r="D27" s="20">
        <v>14582</v>
      </c>
      <c r="E27" s="20">
        <v>14332</v>
      </c>
      <c r="F27" s="20">
        <v>14089</v>
      </c>
      <c r="G27" s="20">
        <v>13929</v>
      </c>
      <c r="H27" s="20">
        <v>13799</v>
      </c>
      <c r="I27" s="20">
        <v>13691</v>
      </c>
      <c r="J27" s="20">
        <v>13698</v>
      </c>
      <c r="K27" s="20">
        <v>13668</v>
      </c>
      <c r="L27" s="20">
        <v>13578</v>
      </c>
      <c r="M27" s="12">
        <v>13554</v>
      </c>
      <c r="N27" s="51">
        <f>M27</f>
        <v>13554</v>
      </c>
      <c r="O27" s="51">
        <f t="shared" ref="O27:R27" si="13">N27</f>
        <v>13554</v>
      </c>
      <c r="P27" s="51">
        <f t="shared" si="13"/>
        <v>13554</v>
      </c>
      <c r="Q27" s="51">
        <f t="shared" si="13"/>
        <v>13554</v>
      </c>
      <c r="R27" s="51">
        <f t="shared" si="13"/>
        <v>13554</v>
      </c>
    </row>
    <row r="28" spans="1:18">
      <c r="B28" s="16" t="s">
        <v>52</v>
      </c>
      <c r="C28" s="20">
        <v>15148</v>
      </c>
      <c r="D28" s="20">
        <v>14649</v>
      </c>
      <c r="E28" s="20">
        <v>14379</v>
      </c>
      <c r="F28" s="20">
        <v>14123</v>
      </c>
      <c r="G28" s="20">
        <v>13962</v>
      </c>
      <c r="H28" s="20">
        <v>13830</v>
      </c>
      <c r="I28" s="20">
        <v>13719</v>
      </c>
      <c r="J28" s="20">
        <v>13733</v>
      </c>
      <c r="K28" s="20">
        <v>13696</v>
      </c>
      <c r="L28" s="20">
        <v>13604</v>
      </c>
      <c r="M28" s="12">
        <v>13580</v>
      </c>
      <c r="N28" s="51">
        <f>M28</f>
        <v>13580</v>
      </c>
      <c r="O28" s="51">
        <f t="shared" ref="O28:R28" si="14">N28</f>
        <v>13580</v>
      </c>
      <c r="P28" s="51">
        <f t="shared" si="14"/>
        <v>13580</v>
      </c>
      <c r="Q28" s="51">
        <f t="shared" si="14"/>
        <v>13580</v>
      </c>
      <c r="R28" s="51">
        <f t="shared" si="14"/>
        <v>13580</v>
      </c>
    </row>
  </sheetData>
  <pageMargins left="0.7" right="0.7" top="0.75" bottom="0.75" header="0.3" footer="0.3"/>
  <pageSetup scale="70" orientation="landscape"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DFE7-7A0B-49E2-A796-67E5ACFEDFE6}">
  <sheetPr>
    <pageSetUpPr fitToPage="1"/>
  </sheetPr>
  <dimension ref="A1:R64"/>
  <sheetViews>
    <sheetView zoomScale="130" zoomScaleNormal="130" workbookViewId="0">
      <pane xSplit="2" ySplit="4" topLeftCell="K5" activePane="bottomRight" state="frozen"/>
      <selection activeCell="C38" sqref="C38"/>
      <selection pane="topRight" activeCell="C38" sqref="C38"/>
      <selection pane="bottomLeft" activeCell="C38" sqref="C38"/>
      <selection pane="bottomRight" activeCell="K5" sqref="K5"/>
    </sheetView>
  </sheetViews>
  <sheetFormatPr baseColWidth="10" defaultColWidth="8.625" defaultRowHeight="14" outlineLevelRow="1" outlineLevelCol="1"/>
  <cols>
    <col min="1" max="1" width="3.375" customWidth="1"/>
    <col min="2" max="2" width="35.25" bestFit="1" customWidth="1"/>
    <col min="3" max="3" width="12.375" hidden="1" customWidth="1" outlineLevel="1"/>
    <col min="4" max="4" width="11.375" hidden="1" customWidth="1" outlineLevel="1"/>
    <col min="5" max="5" width="11.75" hidden="1" customWidth="1" outlineLevel="1"/>
    <col min="6" max="6" width="11.375" hidden="1" customWidth="1" outlineLevel="1"/>
    <col min="7" max="7" width="11.25" hidden="1" customWidth="1" outlineLevel="1"/>
    <col min="8" max="9" width="11.375" hidden="1" customWidth="1" outlineLevel="1"/>
    <col min="10" max="10" width="11.75" hidden="1" customWidth="1" outlineLevel="1"/>
    <col min="11" max="11" width="11.375" bestFit="1" customWidth="1" collapsed="1"/>
    <col min="12" max="12" width="11.375" bestFit="1" customWidth="1"/>
    <col min="13" max="13" width="11.75" bestFit="1" customWidth="1"/>
    <col min="14" max="14" width="11.75" customWidth="1"/>
    <col min="15" max="15" width="12.75" bestFit="1" customWidth="1"/>
    <col min="16" max="17" width="11.75" customWidth="1"/>
    <col min="18" max="18" width="13.125" bestFit="1" customWidth="1"/>
  </cols>
  <sheetData>
    <row r="1" spans="1:18" ht="30">
      <c r="A1" s="4" t="s">
        <v>4</v>
      </c>
      <c r="B1" s="5"/>
      <c r="C1" s="5"/>
      <c r="D1" s="5"/>
      <c r="E1" s="5"/>
      <c r="F1" s="5"/>
      <c r="G1" s="5"/>
      <c r="H1" s="5"/>
      <c r="I1" s="5"/>
      <c r="J1" s="5"/>
      <c r="K1" s="5"/>
      <c r="L1" s="5"/>
      <c r="M1" s="5"/>
      <c r="N1" s="5"/>
      <c r="O1" s="5"/>
      <c r="P1" s="5"/>
      <c r="Q1" s="5"/>
      <c r="R1" s="5"/>
    </row>
    <row r="2" spans="1:18" ht="15" thickBot="1">
      <c r="B2" s="6" t="s">
        <v>5</v>
      </c>
    </row>
    <row r="3" spans="1:18" ht="15" thickBot="1">
      <c r="K3" s="54" t="s">
        <v>172</v>
      </c>
      <c r="L3" s="55"/>
      <c r="M3" s="56"/>
      <c r="N3" s="54" t="s">
        <v>173</v>
      </c>
      <c r="O3" s="55"/>
      <c r="P3" s="55"/>
      <c r="Q3" s="55"/>
      <c r="R3" s="56"/>
    </row>
    <row r="4" spans="1:18">
      <c r="C4" s="7">
        <v>41882</v>
      </c>
      <c r="D4" s="7">
        <v>42247</v>
      </c>
      <c r="E4" s="7">
        <v>42613</v>
      </c>
      <c r="F4" s="7">
        <v>42978</v>
      </c>
      <c r="G4" s="7">
        <v>43343</v>
      </c>
      <c r="H4" s="7">
        <v>43708</v>
      </c>
      <c r="I4" s="7">
        <v>44074</v>
      </c>
      <c r="J4" s="57">
        <v>44439</v>
      </c>
      <c r="K4" s="58">
        <v>44804</v>
      </c>
      <c r="L4" s="58">
        <v>45169</v>
      </c>
      <c r="M4" s="58">
        <v>45535</v>
      </c>
      <c r="N4" s="58">
        <v>45900</v>
      </c>
      <c r="O4" s="58">
        <v>46265</v>
      </c>
      <c r="P4" s="58">
        <v>46630</v>
      </c>
      <c r="Q4" s="58">
        <v>46996</v>
      </c>
      <c r="R4" s="58">
        <v>47361</v>
      </c>
    </row>
    <row r="5" spans="1:18">
      <c r="B5" s="1" t="s">
        <v>54</v>
      </c>
      <c r="C5" s="18"/>
      <c r="D5" s="18"/>
      <c r="E5" s="18"/>
      <c r="F5" s="18"/>
      <c r="G5" s="18"/>
      <c r="H5" s="18"/>
      <c r="I5" s="18"/>
      <c r="J5" s="18"/>
      <c r="K5" s="59"/>
      <c r="L5" s="59"/>
      <c r="M5" s="60"/>
      <c r="N5" s="59"/>
      <c r="O5" s="59"/>
      <c r="P5" s="59"/>
      <c r="Q5" s="59"/>
      <c r="R5" s="59"/>
    </row>
    <row r="6" spans="1:18" ht="19.5" customHeight="1">
      <c r="B6" t="s">
        <v>171</v>
      </c>
      <c r="C6" s="19">
        <f>57803+45050</f>
        <v>102853</v>
      </c>
      <c r="D6" s="19">
        <f>53896+48603</f>
        <v>102499</v>
      </c>
      <c r="E6" s="19">
        <f>50891+57633</f>
        <v>108524</v>
      </c>
      <c r="F6" s="19">
        <f>37082+80166</f>
        <v>117248</v>
      </c>
      <c r="G6" s="19">
        <f>48866+219</f>
        <v>49085</v>
      </c>
      <c r="H6" s="19">
        <v>27233</v>
      </c>
      <c r="I6" s="19">
        <v>56462</v>
      </c>
      <c r="J6" s="19">
        <v>85961</v>
      </c>
      <c r="K6" s="19">
        <v>37843</v>
      </c>
      <c r="L6" s="19">
        <v>48143</v>
      </c>
      <c r="M6" s="19">
        <v>46699</v>
      </c>
      <c r="N6" s="67">
        <f>Assumptions!T22*'Income Statement'!N6</f>
        <v>51183.575190000003</v>
      </c>
      <c r="O6" s="67">
        <f>Assumptions!U22*'Income Statement'!O6</f>
        <v>54766.425453299998</v>
      </c>
      <c r="P6" s="67">
        <f>Assumptions!V22*'Income Statement'!P6</f>
        <v>58600.075235031007</v>
      </c>
      <c r="Q6" s="67">
        <f>Assumptions!W22*'Income Statement'!Q6</f>
        <v>62702.080501483179</v>
      </c>
      <c r="R6" s="67">
        <f>Assumptions!X22*'Income Statement'!R6</f>
        <v>67091.226136586993</v>
      </c>
    </row>
    <row r="7" spans="1:18" ht="19.5" customHeight="1">
      <c r="B7" t="s">
        <v>207</v>
      </c>
      <c r="C7" s="19"/>
      <c r="D7" s="19"/>
      <c r="E7" s="19"/>
      <c r="F7" s="19"/>
      <c r="G7" s="19"/>
      <c r="H7" s="19"/>
      <c r="I7" s="19"/>
      <c r="J7" s="19"/>
      <c r="K7" s="19"/>
      <c r="L7" s="19"/>
      <c r="M7" s="19"/>
      <c r="N7" s="66">
        <f ca="1">IF('Cash Flow Statement'!F41&gt;0,'Cash Flow Statement'!F41,0)</f>
        <v>13971.34196832242</v>
      </c>
      <c r="O7" s="66">
        <f ca="1">IF('Cash Flow Statement'!G41&gt;0,'Cash Flow Statement'!G41,0)</f>
        <v>33162.132885569714</v>
      </c>
      <c r="P7" s="66">
        <f ca="1">IF('Cash Flow Statement'!H41&gt;0,'Cash Flow Statement'!H41,0)</f>
        <v>54645.131112277159</v>
      </c>
      <c r="Q7" s="66">
        <f ca="1">IF('Cash Flow Statement'!I41&gt;0,'Cash Flow Statement'!I41,0)</f>
        <v>52487.115062045974</v>
      </c>
      <c r="R7" s="66">
        <f ca="1">IF('Cash Flow Statement'!J41&gt;0,'Cash Flow Statement'!J41,0)</f>
        <v>78167.863270440357</v>
      </c>
    </row>
    <row r="8" spans="1:18" ht="19.5" customHeight="1">
      <c r="B8" t="s">
        <v>7</v>
      </c>
      <c r="C8" s="20">
        <v>63618</v>
      </c>
      <c r="D8" s="20">
        <v>58750</v>
      </c>
      <c r="E8" s="20">
        <v>64680</v>
      </c>
      <c r="F8" s="20">
        <v>64259</v>
      </c>
      <c r="G8" s="20">
        <v>69025</v>
      </c>
      <c r="H8" s="20">
        <v>72864</v>
      </c>
      <c r="I8" s="20">
        <v>80672</v>
      </c>
      <c r="J8" s="20">
        <v>89558</v>
      </c>
      <c r="K8" s="20">
        <v>89930</v>
      </c>
      <c r="L8" s="20">
        <v>98039</v>
      </c>
      <c r="M8" s="12">
        <v>117493</v>
      </c>
      <c r="N8" s="66">
        <f>Assumptions!T23*'Income Statement'!N6</f>
        <v>126379.198</v>
      </c>
      <c r="O8" s="66">
        <f>Assumptions!U23*'Income Statement'!O6</f>
        <v>135225.74186000001</v>
      </c>
      <c r="P8" s="66">
        <f>Assumptions!V23*'Income Statement'!P6</f>
        <v>144691.5437902</v>
      </c>
      <c r="Q8" s="66">
        <f>Assumptions!W23*'Income Statement'!Q6</f>
        <v>154819.95185551402</v>
      </c>
      <c r="R8" s="66">
        <f>Assumptions!X23*'Income Statement'!R6</f>
        <v>165657.3484854</v>
      </c>
    </row>
    <row r="9" spans="1:18" ht="19.5" customHeight="1">
      <c r="B9" t="s">
        <v>8</v>
      </c>
      <c r="C9" s="20">
        <v>34989</v>
      </c>
      <c r="D9" s="20">
        <v>32052</v>
      </c>
      <c r="E9" s="20">
        <v>31793</v>
      </c>
      <c r="F9" s="20">
        <v>35340</v>
      </c>
      <c r="G9" s="20">
        <v>36536</v>
      </c>
      <c r="H9" s="20">
        <v>40682</v>
      </c>
      <c r="I9" s="20">
        <v>41264</v>
      </c>
      <c r="J9" s="20">
        <v>55752</v>
      </c>
      <c r="K9" s="20">
        <v>104101</v>
      </c>
      <c r="L9" s="20">
        <v>86522</v>
      </c>
      <c r="M9" s="12">
        <v>79088</v>
      </c>
      <c r="N9" s="66">
        <f>Assumptions!T24*'Income Statement'!N7</f>
        <v>73457.908837499999</v>
      </c>
      <c r="O9" s="66">
        <f>Assumptions!U24*'Income Statement'!O7</f>
        <v>78599.962456125009</v>
      </c>
      <c r="P9" s="66">
        <f>Assumptions!V24*'Income Statement'!P7</f>
        <v>84101.959828053761</v>
      </c>
      <c r="Q9" s="66">
        <f>Assumptions!W24*'Income Statement'!Q7</f>
        <v>89989.09701601752</v>
      </c>
      <c r="R9" s="66">
        <f>Assumptions!X24*'Income Statement'!R7</f>
        <v>96288.333807138755</v>
      </c>
    </row>
    <row r="10" spans="1:18" ht="19.5" customHeight="1">
      <c r="B10" t="s">
        <v>56</v>
      </c>
      <c r="C10" s="20">
        <v>5855</v>
      </c>
      <c r="D10" s="20">
        <v>5824</v>
      </c>
      <c r="E10" s="20">
        <v>0</v>
      </c>
      <c r="F10" s="20">
        <v>0</v>
      </c>
      <c r="G10" s="20">
        <v>0</v>
      </c>
      <c r="H10" s="20">
        <v>0</v>
      </c>
      <c r="I10" s="20">
        <v>0</v>
      </c>
      <c r="J10" s="20">
        <v>0</v>
      </c>
      <c r="K10" s="20">
        <v>0</v>
      </c>
      <c r="L10" s="20">
        <v>0</v>
      </c>
      <c r="M10" s="20">
        <v>0</v>
      </c>
      <c r="N10" s="48">
        <f>M10</f>
        <v>0</v>
      </c>
      <c r="O10" s="48">
        <f t="shared" ref="O10:R10" si="0">N10</f>
        <v>0</v>
      </c>
      <c r="P10" s="48">
        <f t="shared" si="0"/>
        <v>0</v>
      </c>
      <c r="Q10" s="48">
        <f t="shared" si="0"/>
        <v>0</v>
      </c>
      <c r="R10" s="48">
        <f t="shared" si="0"/>
        <v>0</v>
      </c>
    </row>
    <row r="11" spans="1:18" ht="19.5" customHeight="1">
      <c r="B11" t="s">
        <v>9</v>
      </c>
      <c r="C11" s="20">
        <v>8339</v>
      </c>
      <c r="D11" s="20">
        <v>6127</v>
      </c>
      <c r="E11" s="20">
        <v>4475</v>
      </c>
      <c r="F11" s="20">
        <v>8007</v>
      </c>
      <c r="G11" s="20">
        <v>13337</v>
      </c>
      <c r="H11" s="20">
        <v>7216</v>
      </c>
      <c r="I11" s="20">
        <v>6756</v>
      </c>
      <c r="J11" s="20">
        <v>9948</v>
      </c>
      <c r="K11" s="20">
        <v>17766</v>
      </c>
      <c r="L11" s="20">
        <v>15821</v>
      </c>
      <c r="M11" s="12">
        <v>12161</v>
      </c>
      <c r="N11" s="66">
        <f>Assumptions!T25*'Income Statement'!N6</f>
        <v>12637.9198</v>
      </c>
      <c r="O11" s="66">
        <f>Assumptions!U25*'Income Statement'!O6</f>
        <v>13522.574186</v>
      </c>
      <c r="P11" s="66">
        <f>Assumptions!V25*'Income Statement'!P6</f>
        <v>14469.154379020001</v>
      </c>
      <c r="Q11" s="66">
        <f>Assumptions!W25*'Income Statement'!Q6</f>
        <v>15481.995185551401</v>
      </c>
      <c r="R11" s="66">
        <f>Assumptions!X25*'Income Statement'!R6</f>
        <v>16565.73484854</v>
      </c>
    </row>
    <row r="12" spans="1:18" ht="19.5" customHeight="1">
      <c r="A12" s="9" t="s">
        <v>18</v>
      </c>
      <c r="B12" s="8" t="s">
        <v>10</v>
      </c>
      <c r="C12" s="13">
        <f t="shared" ref="C12:R12" si="1">SUM(C6:C11)</f>
        <v>215654</v>
      </c>
      <c r="D12" s="13">
        <f t="shared" si="1"/>
        <v>205252</v>
      </c>
      <c r="E12" s="13">
        <f t="shared" si="1"/>
        <v>209472</v>
      </c>
      <c r="F12" s="13">
        <f t="shared" si="1"/>
        <v>224854</v>
      </c>
      <c r="G12" s="13">
        <f t="shared" si="1"/>
        <v>167983</v>
      </c>
      <c r="H12" s="13">
        <f t="shared" si="1"/>
        <v>147995</v>
      </c>
      <c r="I12" s="13">
        <f t="shared" si="1"/>
        <v>185154</v>
      </c>
      <c r="J12" s="13">
        <f t="shared" si="1"/>
        <v>241219</v>
      </c>
      <c r="K12" s="13">
        <f t="shared" si="1"/>
        <v>249640</v>
      </c>
      <c r="L12" s="13">
        <f t="shared" si="1"/>
        <v>248525</v>
      </c>
      <c r="M12" s="13">
        <f t="shared" si="1"/>
        <v>255441</v>
      </c>
      <c r="N12" s="13">
        <f t="shared" ca="1" si="1"/>
        <v>277629.94379582239</v>
      </c>
      <c r="O12" s="13">
        <f t="shared" ca="1" si="1"/>
        <v>315276.83684099471</v>
      </c>
      <c r="P12" s="13">
        <f t="shared" ca="1" si="1"/>
        <v>356507.8643445819</v>
      </c>
      <c r="Q12" s="13">
        <f t="shared" ca="1" si="1"/>
        <v>375480.23962061212</v>
      </c>
      <c r="R12" s="13">
        <f t="shared" ca="1" si="1"/>
        <v>423770.50654810603</v>
      </c>
    </row>
    <row r="13" spans="1:18" ht="19.5" customHeight="1">
      <c r="B13" t="s">
        <v>11</v>
      </c>
      <c r="C13" s="20">
        <v>9702</v>
      </c>
      <c r="D13" s="20">
        <v>11376</v>
      </c>
      <c r="E13" s="20">
        <v>11545</v>
      </c>
      <c r="F13" s="20">
        <v>29439</v>
      </c>
      <c r="G13" s="20">
        <v>36357</v>
      </c>
      <c r="H13" s="20">
        <v>45076</v>
      </c>
      <c r="I13" s="20">
        <v>60759</v>
      </c>
      <c r="J13" s="20">
        <v>70145</v>
      </c>
      <c r="K13" s="20">
        <v>65977</v>
      </c>
      <c r="L13" s="20">
        <v>66791</v>
      </c>
      <c r="M13" s="12">
        <v>62983</v>
      </c>
      <c r="N13" s="48">
        <f>Calcs!N22</f>
        <v>66774.375939999998</v>
      </c>
      <c r="O13" s="48">
        <f>Calcs!O22</f>
        <v>70831.148195799993</v>
      </c>
      <c r="P13" s="48">
        <f>Calcs!P22</f>
        <v>75171.894509506004</v>
      </c>
      <c r="Q13" s="48">
        <f>Calcs!Q22</f>
        <v>79816.493065171439</v>
      </c>
      <c r="R13" s="48">
        <f>Calcs!R22</f>
        <v>84786.213519733443</v>
      </c>
    </row>
    <row r="14" spans="1:18" ht="19.5" customHeight="1">
      <c r="B14" t="s">
        <v>12</v>
      </c>
      <c r="C14" s="20">
        <v>95499</v>
      </c>
      <c r="D14" s="20">
        <v>96409</v>
      </c>
      <c r="E14" s="20">
        <v>95649</v>
      </c>
      <c r="F14" s="20">
        <v>95597</v>
      </c>
      <c r="G14" s="20">
        <v>95621</v>
      </c>
      <c r="H14" s="20">
        <v>95347</v>
      </c>
      <c r="I14" s="20">
        <v>95731</v>
      </c>
      <c r="J14" s="20">
        <v>95869</v>
      </c>
      <c r="K14" s="20">
        <v>95180</v>
      </c>
      <c r="L14" s="20">
        <v>95505</v>
      </c>
      <c r="M14" s="12">
        <v>96985</v>
      </c>
      <c r="N14" s="48">
        <f>Assumptions!T30</f>
        <v>96985</v>
      </c>
      <c r="O14" s="48">
        <f>Assumptions!U30</f>
        <v>96985</v>
      </c>
      <c r="P14" s="48">
        <f>Assumptions!V30</f>
        <v>96985</v>
      </c>
      <c r="Q14" s="48">
        <f>Assumptions!W30</f>
        <v>96985</v>
      </c>
      <c r="R14" s="48">
        <f>Assumptions!X30</f>
        <v>96985</v>
      </c>
    </row>
    <row r="15" spans="1:18" ht="19.5" customHeight="1">
      <c r="B15" t="s">
        <v>13</v>
      </c>
      <c r="C15" s="20">
        <v>23671</v>
      </c>
      <c r="D15" s="20">
        <v>22961</v>
      </c>
      <c r="E15" s="20">
        <v>19191</v>
      </c>
      <c r="F15" s="20">
        <v>16244</v>
      </c>
      <c r="G15" s="20">
        <v>13513</v>
      </c>
      <c r="H15" s="20">
        <v>10652</v>
      </c>
      <c r="I15" s="20">
        <v>8633</v>
      </c>
      <c r="J15" s="20">
        <v>7244</v>
      </c>
      <c r="K15" s="20">
        <v>5588</v>
      </c>
      <c r="L15" s="20">
        <v>4670</v>
      </c>
      <c r="M15" s="12">
        <v>6222</v>
      </c>
      <c r="N15" s="48">
        <f>Calcs!N16</f>
        <v>4958.20802</v>
      </c>
      <c r="O15" s="48">
        <f>Calcs!O16</f>
        <v>3605.9506013999999</v>
      </c>
      <c r="P15" s="48">
        <f>Calcs!P16</f>
        <v>2159.0351634979997</v>
      </c>
      <c r="Q15" s="48">
        <f>Calcs!Q16</f>
        <v>610.83564494285952</v>
      </c>
      <c r="R15" s="48">
        <f>Calcs!R16</f>
        <v>0</v>
      </c>
    </row>
    <row r="16" spans="1:18" ht="19.5" customHeight="1">
      <c r="B16" t="s">
        <v>14</v>
      </c>
      <c r="C16" s="20">
        <v>0</v>
      </c>
      <c r="D16" s="20">
        <v>0</v>
      </c>
      <c r="E16" s="20">
        <v>0</v>
      </c>
      <c r="F16" s="20">
        <v>0</v>
      </c>
      <c r="G16" s="20">
        <v>0</v>
      </c>
      <c r="H16" s="20">
        <v>0</v>
      </c>
      <c r="I16" s="20">
        <v>8168</v>
      </c>
      <c r="J16" s="20">
        <v>8824</v>
      </c>
      <c r="K16" s="20">
        <v>7559</v>
      </c>
      <c r="L16" s="20">
        <v>7820</v>
      </c>
      <c r="M16" s="12">
        <v>11611</v>
      </c>
      <c r="N16" s="48">
        <f>Assumptions!T32</f>
        <v>11611</v>
      </c>
      <c r="O16" s="48">
        <f>Assumptions!U32</f>
        <v>11611</v>
      </c>
      <c r="P16" s="48">
        <f>Assumptions!V32</f>
        <v>11611</v>
      </c>
      <c r="Q16" s="48">
        <f>Assumptions!W32</f>
        <v>11611</v>
      </c>
      <c r="R16" s="48">
        <f>Assumptions!X32</f>
        <v>11611</v>
      </c>
    </row>
    <row r="17" spans="1:18" ht="19.5" customHeight="1">
      <c r="B17" t="s">
        <v>15</v>
      </c>
      <c r="C17" s="20">
        <v>0</v>
      </c>
      <c r="D17" s="20">
        <v>0</v>
      </c>
      <c r="E17" s="20">
        <v>621</v>
      </c>
      <c r="F17" s="20">
        <v>495</v>
      </c>
      <c r="G17" s="20">
        <v>511</v>
      </c>
      <c r="H17" s="20">
        <v>403</v>
      </c>
      <c r="I17" s="20">
        <v>464</v>
      </c>
      <c r="J17" s="20">
        <v>858</v>
      </c>
      <c r="K17" s="20">
        <v>679</v>
      </c>
      <c r="L17" s="20">
        <v>1201</v>
      </c>
      <c r="M17" s="12">
        <v>993</v>
      </c>
      <c r="N17" s="48">
        <f>Assumptions!T33</f>
        <v>993</v>
      </c>
      <c r="O17" s="48">
        <f>Assumptions!U33</f>
        <v>993</v>
      </c>
      <c r="P17" s="48">
        <f>Assumptions!V33</f>
        <v>993</v>
      </c>
      <c r="Q17" s="48">
        <f>Assumptions!W33</f>
        <v>993</v>
      </c>
      <c r="R17" s="48">
        <f>Assumptions!X33</f>
        <v>993</v>
      </c>
    </row>
    <row r="18" spans="1:18" ht="19.5" customHeight="1">
      <c r="B18" t="s">
        <v>16</v>
      </c>
      <c r="C18" s="20">
        <v>3154</v>
      </c>
      <c r="D18" s="20">
        <v>3259</v>
      </c>
      <c r="E18" s="20">
        <v>3190</v>
      </c>
      <c r="F18" s="20">
        <v>3088</v>
      </c>
      <c r="G18" s="20">
        <v>3074</v>
      </c>
      <c r="H18" s="20">
        <v>3189</v>
      </c>
      <c r="I18" s="20">
        <v>3728</v>
      </c>
      <c r="J18" s="20">
        <v>6044</v>
      </c>
      <c r="K18" s="20">
        <v>9672</v>
      </c>
      <c r="L18" s="20">
        <v>13454</v>
      </c>
      <c r="M18" s="12">
        <v>14804</v>
      </c>
      <c r="N18" s="66">
        <f>Assumptions!T34*'Income Statement'!N6</f>
        <v>15797.39975</v>
      </c>
      <c r="O18" s="66">
        <f>Assumptions!U34*'Income Statement'!O6</f>
        <v>16903.217732500001</v>
      </c>
      <c r="P18" s="66">
        <f>Assumptions!V34*'Income Statement'!P6</f>
        <v>18086.442973775</v>
      </c>
      <c r="Q18" s="66">
        <f>Assumptions!W34*'Income Statement'!Q6</f>
        <v>19352.493981939253</v>
      </c>
      <c r="R18" s="66">
        <f>Assumptions!X34*'Income Statement'!R6</f>
        <v>20707.168560675</v>
      </c>
    </row>
    <row r="19" spans="1:18" ht="19.5" customHeight="1">
      <c r="A19" s="9" t="s">
        <v>18</v>
      </c>
      <c r="B19" s="8" t="s">
        <v>17</v>
      </c>
      <c r="C19" s="13">
        <f t="shared" ref="C19:L19" si="2">SUM(C12:C18)</f>
        <v>347680</v>
      </c>
      <c r="D19" s="13">
        <f t="shared" si="2"/>
        <v>339257</v>
      </c>
      <c r="E19" s="13">
        <f t="shared" si="2"/>
        <v>339668</v>
      </c>
      <c r="F19" s="13">
        <f t="shared" si="2"/>
        <v>369717</v>
      </c>
      <c r="G19" s="13">
        <f t="shared" si="2"/>
        <v>317059</v>
      </c>
      <c r="H19" s="13">
        <f t="shared" si="2"/>
        <v>302662</v>
      </c>
      <c r="I19" s="13">
        <f t="shared" si="2"/>
        <v>362637</v>
      </c>
      <c r="J19" s="13">
        <f t="shared" si="2"/>
        <v>430203</v>
      </c>
      <c r="K19" s="13">
        <f t="shared" si="2"/>
        <v>434295</v>
      </c>
      <c r="L19" s="13">
        <f t="shared" si="2"/>
        <v>437966</v>
      </c>
      <c r="M19" s="13">
        <f>SUM(M12:M18)</f>
        <v>449039</v>
      </c>
      <c r="N19" s="13">
        <f t="shared" ref="N19:R19" ca="1" si="3">SUM(N12:N18)</f>
        <v>474748.92750582239</v>
      </c>
      <c r="O19" s="13">
        <f t="shared" ca="1" si="3"/>
        <v>516206.15337069466</v>
      </c>
      <c r="P19" s="13">
        <f t="shared" ca="1" si="3"/>
        <v>561514.2369913609</v>
      </c>
      <c r="Q19" s="13">
        <f t="shared" ca="1" si="3"/>
        <v>584849.06231266563</v>
      </c>
      <c r="R19" s="13">
        <f t="shared" ca="1" si="3"/>
        <v>638852.88862851448</v>
      </c>
    </row>
    <row r="20" spans="1:18" ht="19.5" customHeight="1">
      <c r="C20" s="18"/>
      <c r="D20" s="18"/>
      <c r="E20" s="18"/>
      <c r="F20" s="18"/>
      <c r="G20" s="18"/>
      <c r="H20" s="18"/>
      <c r="I20" s="18"/>
      <c r="J20" s="18"/>
      <c r="K20" s="18"/>
      <c r="L20" s="18"/>
    </row>
    <row r="21" spans="1:18" ht="19.5" customHeight="1">
      <c r="B21" s="1" t="s">
        <v>57</v>
      </c>
      <c r="C21" s="18"/>
      <c r="D21" s="18"/>
      <c r="E21" s="18"/>
      <c r="F21" s="18"/>
      <c r="G21" s="18"/>
      <c r="H21" s="18"/>
      <c r="I21" s="18"/>
      <c r="J21" s="18"/>
      <c r="K21" s="18"/>
      <c r="L21" s="18"/>
    </row>
    <row r="22" spans="1:18" ht="19.5" customHeight="1">
      <c r="B22" t="s">
        <v>19</v>
      </c>
      <c r="C22" s="19">
        <v>18031</v>
      </c>
      <c r="D22" s="19">
        <v>17128</v>
      </c>
      <c r="E22" s="19">
        <v>18690</v>
      </c>
      <c r="F22" s="19">
        <v>20898</v>
      </c>
      <c r="G22" s="19">
        <v>19115</v>
      </c>
      <c r="H22" s="19">
        <v>18727</v>
      </c>
      <c r="I22" s="19">
        <v>21676</v>
      </c>
      <c r="J22" s="19">
        <v>33499</v>
      </c>
      <c r="K22" s="19">
        <v>32852</v>
      </c>
      <c r="L22" s="19">
        <v>30826</v>
      </c>
      <c r="M22" s="11">
        <v>35960</v>
      </c>
      <c r="N22" s="67">
        <f>Assumptions!T37*'Income Statement'!N7</f>
        <v>36435.122783400002</v>
      </c>
      <c r="O22" s="67">
        <f>Assumptions!U37*'Income Statement'!O7</f>
        <v>38985.581378238006</v>
      </c>
      <c r="P22" s="67">
        <f>Assumptions!V37*'Income Statement'!P7</f>
        <v>41714.572074714662</v>
      </c>
      <c r="Q22" s="67">
        <f>Assumptions!W37*'Income Statement'!Q7</f>
        <v>44634.592119944689</v>
      </c>
      <c r="R22" s="67">
        <f>Assumptions!X37*'Income Statement'!R7</f>
        <v>47759.013568340823</v>
      </c>
    </row>
    <row r="23" spans="1:18" ht="19.5" customHeight="1">
      <c r="B23" t="s">
        <v>20</v>
      </c>
      <c r="C23" s="20">
        <v>18382</v>
      </c>
      <c r="D23" s="20">
        <v>15200</v>
      </c>
      <c r="E23" s="20">
        <v>15757</v>
      </c>
      <c r="F23" s="20">
        <v>18997</v>
      </c>
      <c r="G23" s="20">
        <v>26240</v>
      </c>
      <c r="H23" s="20">
        <v>18513</v>
      </c>
      <c r="I23" s="20">
        <v>21660</v>
      </c>
      <c r="J23" s="20">
        <v>25658</v>
      </c>
      <c r="K23" s="20">
        <v>27161</v>
      </c>
      <c r="L23" s="20">
        <v>30000</v>
      </c>
      <c r="M23" s="12">
        <v>31272</v>
      </c>
      <c r="N23" s="66">
        <f>Assumptions!T38*'Income Statement'!N6</f>
        <v>33490.48747</v>
      </c>
      <c r="O23" s="66">
        <f>Assumptions!U38*'Income Statement'!O6</f>
        <v>35834.8215929</v>
      </c>
      <c r="P23" s="66">
        <f>Assumptions!V38*'Income Statement'!P6</f>
        <v>38343.259104402998</v>
      </c>
      <c r="Q23" s="66">
        <f>Assumptions!W38*'Income Statement'!Q6</f>
        <v>41027.287241711208</v>
      </c>
      <c r="R23" s="66">
        <f>Assumptions!X38*'Income Statement'!R6</f>
        <v>43899.197348630994</v>
      </c>
    </row>
    <row r="24" spans="1:18" ht="19.5" customHeight="1">
      <c r="B24" t="s">
        <v>21</v>
      </c>
      <c r="C24" s="20">
        <v>15969</v>
      </c>
      <c r="D24" s="20">
        <v>13357</v>
      </c>
      <c r="E24" s="20">
        <v>20866</v>
      </c>
      <c r="F24" s="20">
        <v>14222</v>
      </c>
      <c r="G24" s="20">
        <v>14823</v>
      </c>
      <c r="H24" s="20">
        <v>15301</v>
      </c>
      <c r="I24" s="20">
        <v>14767</v>
      </c>
      <c r="J24" s="20">
        <v>25662</v>
      </c>
      <c r="K24" s="20">
        <v>11583</v>
      </c>
      <c r="L24" s="20">
        <v>16722</v>
      </c>
      <c r="M24" s="12">
        <v>26055</v>
      </c>
      <c r="N24" s="66">
        <f>Assumptions!T39*'Income Statement'!N6</f>
        <v>25275.839599999999</v>
      </c>
      <c r="O24" s="66">
        <f>Assumptions!U39*'Income Statement'!O6</f>
        <v>27045.148372</v>
      </c>
      <c r="P24" s="66">
        <f>Assumptions!V39*'Income Statement'!P6</f>
        <v>28938.308758040002</v>
      </c>
      <c r="Q24" s="66">
        <f>Assumptions!W39*'Income Statement'!Q6</f>
        <v>30963.990371102802</v>
      </c>
      <c r="R24" s="66">
        <f>Assumptions!X39*'Income Statement'!R6</f>
        <v>33131.46969708</v>
      </c>
    </row>
    <row r="25" spans="1:18" ht="19.5" customHeight="1">
      <c r="B25" s="18" t="s">
        <v>58</v>
      </c>
      <c r="C25" s="20">
        <v>98000</v>
      </c>
      <c r="D25" s="20">
        <v>0</v>
      </c>
      <c r="E25" s="20">
        <v>0</v>
      </c>
      <c r="F25" s="20">
        <v>20000</v>
      </c>
      <c r="G25" s="20">
        <v>22800</v>
      </c>
      <c r="H25" s="20">
        <v>20405</v>
      </c>
      <c r="I25" s="20">
        <v>0</v>
      </c>
      <c r="J25" s="20">
        <v>0</v>
      </c>
      <c r="K25" s="20">
        <v>0</v>
      </c>
      <c r="L25" s="20">
        <v>0</v>
      </c>
      <c r="M25" s="20">
        <v>0</v>
      </c>
      <c r="N25" s="48">
        <f>M25</f>
        <v>0</v>
      </c>
      <c r="O25" s="48">
        <f t="shared" ref="O25:R25" si="4">N25</f>
        <v>0</v>
      </c>
      <c r="P25" s="48">
        <f t="shared" si="4"/>
        <v>0</v>
      </c>
      <c r="Q25" s="48">
        <f t="shared" si="4"/>
        <v>0</v>
      </c>
      <c r="R25" s="48">
        <f t="shared" si="4"/>
        <v>0</v>
      </c>
    </row>
    <row r="26" spans="1:18" ht="19.5" customHeight="1">
      <c r="B26" t="s">
        <v>22</v>
      </c>
      <c r="C26" s="20">
        <v>0</v>
      </c>
      <c r="D26" s="20">
        <v>0</v>
      </c>
      <c r="E26" s="20">
        <v>0</v>
      </c>
      <c r="F26" s="20">
        <v>0</v>
      </c>
      <c r="G26" s="20">
        <v>800</v>
      </c>
      <c r="H26" s="20">
        <v>800</v>
      </c>
      <c r="I26" s="20">
        <v>800</v>
      </c>
      <c r="J26" s="20">
        <v>800</v>
      </c>
      <c r="K26" s="20">
        <v>0</v>
      </c>
      <c r="L26" s="20">
        <v>0</v>
      </c>
      <c r="M26" s="20">
        <v>0</v>
      </c>
      <c r="N26" s="48">
        <f>M26</f>
        <v>0</v>
      </c>
      <c r="O26" s="48">
        <f t="shared" ref="O26:R26" si="5">N26</f>
        <v>0</v>
      </c>
      <c r="P26" s="48">
        <f t="shared" si="5"/>
        <v>0</v>
      </c>
      <c r="Q26" s="48">
        <f t="shared" si="5"/>
        <v>0</v>
      </c>
      <c r="R26" s="48">
        <f t="shared" si="5"/>
        <v>0</v>
      </c>
    </row>
    <row r="27" spans="1:18" ht="19.5" customHeight="1">
      <c r="B27" t="s">
        <v>179</v>
      </c>
      <c r="C27" s="20"/>
      <c r="D27" s="20"/>
      <c r="E27" s="20"/>
      <c r="F27" s="20"/>
      <c r="G27" s="20"/>
      <c r="H27" s="20"/>
      <c r="I27" s="20"/>
      <c r="J27" s="20"/>
      <c r="K27" s="20"/>
      <c r="L27" s="20"/>
      <c r="M27" s="20"/>
      <c r="N27" s="66">
        <f ca="1">-IF('Cash Flow Statement'!F41&lt;0,'Cash Flow Statement'!F41,0)</f>
        <v>0</v>
      </c>
      <c r="O27" s="66">
        <f ca="1">-IF('Cash Flow Statement'!G41&lt;0,'Cash Flow Statement'!G41,0)</f>
        <v>0</v>
      </c>
      <c r="P27" s="66">
        <f ca="1">-IF('Cash Flow Statement'!H41&lt;0,'Cash Flow Statement'!H41,0)</f>
        <v>0</v>
      </c>
      <c r="Q27" s="66">
        <f ca="1">-IF('Cash Flow Statement'!I41&lt;0,'Cash Flow Statement'!I41,0)</f>
        <v>0</v>
      </c>
      <c r="R27" s="66">
        <f ca="1">-IF('Cash Flow Statement'!J41&lt;0,'Cash Flow Statement'!J41,0)</f>
        <v>0</v>
      </c>
    </row>
    <row r="28" spans="1:18" ht="19.5" customHeight="1">
      <c r="B28" t="s">
        <v>23</v>
      </c>
      <c r="C28" s="20">
        <v>1529</v>
      </c>
      <c r="D28" s="20">
        <v>2287</v>
      </c>
      <c r="E28" s="20">
        <v>3381</v>
      </c>
      <c r="F28" s="20">
        <v>1306</v>
      </c>
      <c r="G28" s="20">
        <v>2125</v>
      </c>
      <c r="H28" s="20">
        <v>844</v>
      </c>
      <c r="I28" s="20">
        <v>1213</v>
      </c>
      <c r="J28" s="20">
        <v>317</v>
      </c>
      <c r="K28" s="20">
        <v>51</v>
      </c>
      <c r="L28" s="20">
        <v>494</v>
      </c>
      <c r="M28" s="12">
        <v>1554</v>
      </c>
      <c r="N28" s="66">
        <f>Assumptions!T40*'Income Statement'!N6</f>
        <v>631.89598999999998</v>
      </c>
      <c r="O28" s="66">
        <f>Assumptions!U40*'Income Statement'!O6</f>
        <v>676.12870929999997</v>
      </c>
      <c r="P28" s="66">
        <f>Assumptions!V40*'Income Statement'!P6</f>
        <v>723.45771895100006</v>
      </c>
      <c r="Q28" s="66">
        <f>Assumptions!W40*'Income Statement'!Q6</f>
        <v>774.09975927757012</v>
      </c>
      <c r="R28" s="66">
        <f>Assumptions!X40*'Income Statement'!R6</f>
        <v>828.28674242699992</v>
      </c>
    </row>
    <row r="29" spans="1:18" ht="19.5" customHeight="1">
      <c r="A29" s="9" t="s">
        <v>18</v>
      </c>
      <c r="B29" s="8" t="s">
        <v>24</v>
      </c>
      <c r="C29" s="13">
        <f t="shared" ref="C29:L29" si="6">SUM(C22:C28)</f>
        <v>151911</v>
      </c>
      <c r="D29" s="13">
        <f t="shared" si="6"/>
        <v>47972</v>
      </c>
      <c r="E29" s="13">
        <f t="shared" si="6"/>
        <v>58694</v>
      </c>
      <c r="F29" s="13">
        <f t="shared" si="6"/>
        <v>75423</v>
      </c>
      <c r="G29" s="13">
        <f t="shared" si="6"/>
        <v>85903</v>
      </c>
      <c r="H29" s="13">
        <f t="shared" si="6"/>
        <v>74590</v>
      </c>
      <c r="I29" s="13">
        <f t="shared" si="6"/>
        <v>60116</v>
      </c>
      <c r="J29" s="13">
        <f t="shared" si="6"/>
        <v>85936</v>
      </c>
      <c r="K29" s="13">
        <f t="shared" si="6"/>
        <v>71647</v>
      </c>
      <c r="L29" s="13">
        <f t="shared" si="6"/>
        <v>78042</v>
      </c>
      <c r="M29" s="13">
        <f>SUM(M22:M28)</f>
        <v>94841</v>
      </c>
      <c r="N29" s="13">
        <f t="shared" ref="N29:R29" ca="1" si="7">SUM(N22:N28)</f>
        <v>95833.345843400006</v>
      </c>
      <c r="O29" s="13">
        <f t="shared" ca="1" si="7"/>
        <v>102541.68005243801</v>
      </c>
      <c r="P29" s="13">
        <f t="shared" ca="1" si="7"/>
        <v>109719.59765610867</v>
      </c>
      <c r="Q29" s="13">
        <f t="shared" ca="1" si="7"/>
        <v>117399.96949203627</v>
      </c>
      <c r="R29" s="13">
        <f t="shared" ca="1" si="7"/>
        <v>125617.96735647881</v>
      </c>
    </row>
    <row r="30" spans="1:18" ht="19.5" customHeight="1">
      <c r="B30" s="18" t="s">
        <v>59</v>
      </c>
      <c r="C30" s="20">
        <v>0</v>
      </c>
      <c r="D30" s="20">
        <v>108000</v>
      </c>
      <c r="E30" s="20">
        <v>122000</v>
      </c>
      <c r="F30" s="20">
        <v>134000</v>
      </c>
      <c r="G30" s="20">
        <v>44000</v>
      </c>
      <c r="H30" s="20">
        <v>42221</v>
      </c>
      <c r="I30" s="20">
        <v>95898</v>
      </c>
      <c r="J30" s="20">
        <v>46540</v>
      </c>
      <c r="K30" s="20">
        <f>77912</f>
        <v>77912</v>
      </c>
      <c r="L30" s="20">
        <v>52943</v>
      </c>
      <c r="M30" s="20">
        <v>27836</v>
      </c>
      <c r="N30" s="48">
        <f>Debt!E17</f>
        <v>22268.799999999999</v>
      </c>
      <c r="O30" s="48">
        <f>Debt!F17</f>
        <v>16701.599999999999</v>
      </c>
      <c r="P30" s="48">
        <f>Debt!G17</f>
        <v>11134.399999999998</v>
      </c>
      <c r="Q30" s="48">
        <f>Debt!H17</f>
        <v>5567.199999999998</v>
      </c>
      <c r="R30" s="48">
        <f>Debt!I17</f>
        <v>0</v>
      </c>
    </row>
    <row r="31" spans="1:18" ht="19.5" customHeight="1">
      <c r="B31" t="s">
        <v>174</v>
      </c>
      <c r="C31" s="20">
        <v>0</v>
      </c>
      <c r="D31" s="20">
        <v>0</v>
      </c>
      <c r="E31" s="20">
        <v>0</v>
      </c>
      <c r="F31" s="20">
        <v>0</v>
      </c>
      <c r="G31" s="20">
        <v>18800</v>
      </c>
      <c r="H31" s="20">
        <v>18000</v>
      </c>
      <c r="I31" s="20">
        <v>17200</v>
      </c>
      <c r="J31" s="52">
        <f>(17200-800)+26000+26000</f>
        <v>68400</v>
      </c>
      <c r="K31" s="20">
        <v>16400</v>
      </c>
      <c r="L31" s="20">
        <v>15600</v>
      </c>
      <c r="M31" s="20">
        <v>14800</v>
      </c>
      <c r="N31" s="48">
        <f>Debt!E26</f>
        <v>14000</v>
      </c>
      <c r="O31" s="48">
        <f>Debt!F26</f>
        <v>13200</v>
      </c>
      <c r="P31" s="48">
        <f>Debt!G26</f>
        <v>12400</v>
      </c>
      <c r="Q31" s="48">
        <f>Debt!H26</f>
        <v>11600</v>
      </c>
      <c r="R31" s="48">
        <f>Debt!I26</f>
        <v>10800</v>
      </c>
    </row>
    <row r="32" spans="1:18" ht="19.5" customHeight="1">
      <c r="B32" t="s">
        <v>175</v>
      </c>
      <c r="C32" s="20"/>
      <c r="D32" s="20"/>
      <c r="E32" s="20"/>
      <c r="F32" s="20"/>
      <c r="G32" s="20"/>
      <c r="H32" s="20"/>
      <c r="I32" s="20"/>
      <c r="J32" s="52"/>
      <c r="K32" s="20">
        <v>26000</v>
      </c>
      <c r="L32" s="20">
        <v>26000</v>
      </c>
      <c r="M32" s="20">
        <v>26000</v>
      </c>
      <c r="N32" s="48">
        <f>Debt!E35</f>
        <v>26000</v>
      </c>
      <c r="O32" s="48">
        <f>Debt!F35</f>
        <v>26000</v>
      </c>
      <c r="P32" s="48">
        <f>Debt!G35</f>
        <v>26000</v>
      </c>
      <c r="Q32" s="48">
        <f>Debt!H35</f>
        <v>0</v>
      </c>
      <c r="R32" s="48">
        <f>Debt!I35</f>
        <v>0</v>
      </c>
    </row>
    <row r="33" spans="1:18" ht="19.5" customHeight="1">
      <c r="B33" t="s">
        <v>176</v>
      </c>
      <c r="C33" s="20"/>
      <c r="D33" s="20"/>
      <c r="E33" s="20"/>
      <c r="F33" s="20"/>
      <c r="G33" s="20"/>
      <c r="H33" s="20"/>
      <c r="I33" s="20"/>
      <c r="J33" s="52"/>
      <c r="K33" s="20">
        <v>26000</v>
      </c>
      <c r="L33" s="20">
        <v>26000</v>
      </c>
      <c r="M33" s="20">
        <v>26000</v>
      </c>
      <c r="N33" s="48">
        <f>Debt!E44</f>
        <v>26000</v>
      </c>
      <c r="O33" s="48">
        <f>Debt!F44</f>
        <v>26000</v>
      </c>
      <c r="P33" s="48">
        <f>Debt!G44</f>
        <v>26000</v>
      </c>
      <c r="Q33" s="48">
        <f>Debt!H44</f>
        <v>26000</v>
      </c>
      <c r="R33" s="48">
        <f>Debt!I44</f>
        <v>26000</v>
      </c>
    </row>
    <row r="34" spans="1:18" ht="19.5" customHeight="1">
      <c r="B34" t="s">
        <v>26</v>
      </c>
      <c r="C34" s="20">
        <v>24253</v>
      </c>
      <c r="D34" s="20">
        <v>23145</v>
      </c>
      <c r="E34" s="20">
        <v>16365</v>
      </c>
      <c r="F34" s="20">
        <v>18949</v>
      </c>
      <c r="G34" s="20">
        <v>11050</v>
      </c>
      <c r="H34" s="20">
        <v>11688</v>
      </c>
      <c r="I34" s="20">
        <v>11291</v>
      </c>
      <c r="J34" s="20">
        <v>10401</v>
      </c>
      <c r="K34" s="20">
        <v>10528</v>
      </c>
      <c r="L34" s="20">
        <v>10305</v>
      </c>
      <c r="M34" s="12">
        <v>9066</v>
      </c>
      <c r="N34" s="48">
        <f>Assumptions!T43</f>
        <v>9066</v>
      </c>
      <c r="O34" s="48">
        <f>Assumptions!U43</f>
        <v>9066</v>
      </c>
      <c r="P34" s="48">
        <f>Assumptions!V43</f>
        <v>9066</v>
      </c>
      <c r="Q34" s="48">
        <f>Assumptions!W43</f>
        <v>9066</v>
      </c>
      <c r="R34" s="48">
        <f>Assumptions!X43</f>
        <v>9066</v>
      </c>
    </row>
    <row r="35" spans="1:18" ht="19.5" customHeight="1">
      <c r="B35" t="s">
        <v>27</v>
      </c>
      <c r="C35" s="20">
        <v>0</v>
      </c>
      <c r="D35" s="20">
        <v>0</v>
      </c>
      <c r="E35" s="20">
        <v>0</v>
      </c>
      <c r="F35" s="20">
        <v>0</v>
      </c>
      <c r="G35" s="20">
        <v>0</v>
      </c>
      <c r="H35" s="20">
        <v>0</v>
      </c>
      <c r="I35" s="20">
        <v>6520</v>
      </c>
      <c r="J35" s="20">
        <v>7062</v>
      </c>
      <c r="K35" s="20">
        <v>5999</v>
      </c>
      <c r="L35" s="20">
        <v>5832</v>
      </c>
      <c r="M35" s="12">
        <v>5904</v>
      </c>
      <c r="N35" s="48">
        <f>Assumptions!T44</f>
        <v>5904</v>
      </c>
      <c r="O35" s="48">
        <f>Assumptions!U44</f>
        <v>5904</v>
      </c>
      <c r="P35" s="48">
        <f>Assumptions!V44</f>
        <v>5904</v>
      </c>
      <c r="Q35" s="48">
        <f>Assumptions!W44</f>
        <v>5904</v>
      </c>
      <c r="R35" s="48">
        <f>Assumptions!X44</f>
        <v>5904</v>
      </c>
    </row>
    <row r="36" spans="1:18" ht="19.5" customHeight="1">
      <c r="B36" t="s">
        <v>28</v>
      </c>
      <c r="C36" s="20">
        <v>2101</v>
      </c>
      <c r="D36" s="20">
        <v>2282</v>
      </c>
      <c r="E36" s="20">
        <v>2214</v>
      </c>
      <c r="F36" s="20">
        <v>1958</v>
      </c>
      <c r="G36" s="20">
        <v>1817</v>
      </c>
      <c r="H36" s="20">
        <v>10688</v>
      </c>
      <c r="I36" s="20">
        <v>11299</v>
      </c>
      <c r="J36" s="20">
        <v>11482</v>
      </c>
      <c r="K36" s="20">
        <v>11185</v>
      </c>
      <c r="L36" s="20">
        <v>13066</v>
      </c>
      <c r="M36" s="12">
        <v>14066</v>
      </c>
      <c r="N36" s="66">
        <f>Assumptions!T45*'Income Statement'!N6</f>
        <v>15165.50376</v>
      </c>
      <c r="O36" s="66">
        <f>Assumptions!U45*'Income Statement'!O6</f>
        <v>16227.0890232</v>
      </c>
      <c r="P36" s="66">
        <f>Assumptions!V45*'Income Statement'!P6</f>
        <v>17362.985254824001</v>
      </c>
      <c r="Q36" s="66">
        <f>Assumptions!W45*'Income Statement'!Q6</f>
        <v>18578.394222661682</v>
      </c>
      <c r="R36" s="66">
        <f>Assumptions!X45*'Income Statement'!R6</f>
        <v>19878.881818247999</v>
      </c>
    </row>
    <row r="37" spans="1:18" ht="19.5" customHeight="1">
      <c r="A37" s="9" t="s">
        <v>18</v>
      </c>
      <c r="B37" s="8" t="s">
        <v>29</v>
      </c>
      <c r="C37" s="13">
        <f t="shared" ref="C37:L37" si="8">SUM(C29:C36)</f>
        <v>178265</v>
      </c>
      <c r="D37" s="13">
        <f t="shared" si="8"/>
        <v>181399</v>
      </c>
      <c r="E37" s="13">
        <f t="shared" si="8"/>
        <v>199273</v>
      </c>
      <c r="F37" s="13">
        <f t="shared" si="8"/>
        <v>230330</v>
      </c>
      <c r="G37" s="13">
        <f t="shared" si="8"/>
        <v>161570</v>
      </c>
      <c r="H37" s="13">
        <f t="shared" si="8"/>
        <v>157187</v>
      </c>
      <c r="I37" s="13">
        <f t="shared" si="8"/>
        <v>202324</v>
      </c>
      <c r="J37" s="13">
        <f t="shared" si="8"/>
        <v>229821</v>
      </c>
      <c r="K37" s="13">
        <f t="shared" si="8"/>
        <v>245671</v>
      </c>
      <c r="L37" s="13">
        <f t="shared" si="8"/>
        <v>227788</v>
      </c>
      <c r="M37" s="13">
        <f>SUM(M29:M36)</f>
        <v>218513</v>
      </c>
      <c r="N37" s="13">
        <f t="shared" ref="N37:R37" ca="1" si="9">SUM(N29:N36)</f>
        <v>214237.6496034</v>
      </c>
      <c r="O37" s="13">
        <f t="shared" ca="1" si="9"/>
        <v>215640.36907563801</v>
      </c>
      <c r="P37" s="13">
        <f t="shared" ca="1" si="9"/>
        <v>217586.98291093268</v>
      </c>
      <c r="Q37" s="13">
        <f t="shared" ca="1" si="9"/>
        <v>194115.56371469796</v>
      </c>
      <c r="R37" s="13">
        <f t="shared" ca="1" si="9"/>
        <v>197266.84917472678</v>
      </c>
    </row>
    <row r="38" spans="1:18" ht="19.5" customHeight="1">
      <c r="C38" s="18"/>
      <c r="D38" s="18"/>
      <c r="E38" s="18"/>
      <c r="F38" s="18"/>
      <c r="G38" s="18"/>
      <c r="H38" s="18"/>
      <c r="I38" s="18"/>
      <c r="J38" s="18"/>
      <c r="K38" s="18"/>
      <c r="L38" s="18"/>
    </row>
    <row r="39" spans="1:18" ht="19.5" customHeight="1">
      <c r="B39" s="1" t="s">
        <v>60</v>
      </c>
      <c r="C39" s="18"/>
      <c r="D39" s="18"/>
      <c r="E39" s="18"/>
      <c r="F39" s="18"/>
      <c r="G39" s="18"/>
      <c r="H39" s="18"/>
      <c r="I39" s="18"/>
      <c r="J39" s="18"/>
      <c r="K39" s="18"/>
      <c r="L39" s="18"/>
    </row>
    <row r="40" spans="1:18" ht="19.5" customHeight="1">
      <c r="B40" t="s">
        <v>30</v>
      </c>
      <c r="C40" s="19">
        <v>19</v>
      </c>
      <c r="D40" s="19">
        <v>20</v>
      </c>
      <c r="E40" s="19">
        <v>20</v>
      </c>
      <c r="F40" s="19">
        <v>20</v>
      </c>
      <c r="G40" s="19">
        <v>20</v>
      </c>
      <c r="H40" s="19">
        <v>20</v>
      </c>
      <c r="I40" s="19">
        <v>20</v>
      </c>
      <c r="J40" s="19">
        <v>20</v>
      </c>
      <c r="K40" s="19">
        <v>20</v>
      </c>
      <c r="L40" s="19">
        <v>20</v>
      </c>
      <c r="M40" s="11">
        <v>20</v>
      </c>
      <c r="N40" s="46">
        <f>Assumptions!T48</f>
        <v>20</v>
      </c>
      <c r="O40" s="46">
        <f>Assumptions!U48</f>
        <v>20</v>
      </c>
      <c r="P40" s="46">
        <f>Assumptions!V48</f>
        <v>20</v>
      </c>
      <c r="Q40" s="46">
        <f>Assumptions!W48</f>
        <v>20</v>
      </c>
      <c r="R40" s="46">
        <f>Assumptions!X48</f>
        <v>20</v>
      </c>
    </row>
    <row r="41" spans="1:18" ht="19.5" customHeight="1">
      <c r="B41" t="s">
        <v>31</v>
      </c>
      <c r="C41" s="20">
        <v>136212</v>
      </c>
      <c r="D41" s="20">
        <v>141651</v>
      </c>
      <c r="E41" s="20">
        <v>145936</v>
      </c>
      <c r="F41" s="20">
        <v>150692</v>
      </c>
      <c r="G41" s="20">
        <v>153469</v>
      </c>
      <c r="H41" s="20">
        <v>155132</v>
      </c>
      <c r="I41" s="20">
        <v>157850</v>
      </c>
      <c r="J41" s="20">
        <v>163737</v>
      </c>
      <c r="K41" s="20">
        <v>165973</v>
      </c>
      <c r="L41" s="20">
        <v>171546</v>
      </c>
      <c r="M41" s="12">
        <v>175642</v>
      </c>
      <c r="N41" s="48">
        <f>Assumptions!T49</f>
        <v>175642</v>
      </c>
      <c r="O41" s="48">
        <f>Assumptions!U49</f>
        <v>175642</v>
      </c>
      <c r="P41" s="48">
        <f>Assumptions!V49</f>
        <v>175642</v>
      </c>
      <c r="Q41" s="48">
        <f>Assumptions!W49</f>
        <v>175642</v>
      </c>
      <c r="R41" s="48">
        <f>Assumptions!X49</f>
        <v>175642</v>
      </c>
    </row>
    <row r="42" spans="1:18" ht="19.5" customHeight="1">
      <c r="B42" t="s">
        <v>32</v>
      </c>
      <c r="C42" s="20">
        <v>237596</v>
      </c>
      <c r="D42" s="20">
        <v>260683</v>
      </c>
      <c r="E42" s="20">
        <v>289642</v>
      </c>
      <c r="F42" s="20">
        <v>315764</v>
      </c>
      <c r="G42" s="20">
        <v>351266</v>
      </c>
      <c r="H42" s="20">
        <v>374060</v>
      </c>
      <c r="I42" s="20">
        <v>398731</v>
      </c>
      <c r="J42" s="20">
        <v>430735</v>
      </c>
      <c r="K42" s="20">
        <v>456076</v>
      </c>
      <c r="L42" s="20">
        <v>477488</v>
      </c>
      <c r="M42" s="12">
        <v>499931</v>
      </c>
      <c r="N42" s="48">
        <f ca="1">Calcs!N9</f>
        <v>536916.27790242247</v>
      </c>
      <c r="O42" s="48">
        <f ca="1">Calcs!O9</f>
        <v>576970.78429505683</v>
      </c>
      <c r="P42" s="48">
        <f ca="1">Calcs!P9</f>
        <v>620332.25408042839</v>
      </c>
      <c r="Q42" s="48">
        <f ca="1">Calcs!Q9</f>
        <v>667138.4985979679</v>
      </c>
      <c r="R42" s="48">
        <f ca="1">Calcs!R9</f>
        <v>717991.03945378785</v>
      </c>
    </row>
    <row r="43" spans="1:18" ht="19.5" customHeight="1">
      <c r="B43" t="s">
        <v>33</v>
      </c>
      <c r="C43" s="20">
        <v>1103</v>
      </c>
      <c r="D43" s="20">
        <v>-8722</v>
      </c>
      <c r="E43" s="20">
        <v>-27298</v>
      </c>
      <c r="F43" s="20">
        <v>-28075</v>
      </c>
      <c r="G43" s="20">
        <v>-27636</v>
      </c>
      <c r="H43" s="20">
        <v>-32482</v>
      </c>
      <c r="I43" s="20">
        <v>-28208</v>
      </c>
      <c r="J43" s="20">
        <v>-26030</v>
      </c>
      <c r="K43" s="20">
        <v>-36209</v>
      </c>
      <c r="L43" s="20">
        <v>-31206</v>
      </c>
      <c r="M43" s="12">
        <v>-29268</v>
      </c>
      <c r="N43" s="48">
        <f>Assumptions!T50</f>
        <v>-29268</v>
      </c>
      <c r="O43" s="48">
        <f>Assumptions!U50</f>
        <v>-29268</v>
      </c>
      <c r="P43" s="48">
        <f>Assumptions!V50</f>
        <v>-29268</v>
      </c>
      <c r="Q43" s="48">
        <f>Assumptions!W50</f>
        <v>-29268</v>
      </c>
      <c r="R43" s="48">
        <f>Assumptions!X50</f>
        <v>-29268</v>
      </c>
    </row>
    <row r="44" spans="1:18" ht="19.5" customHeight="1">
      <c r="B44" t="s">
        <v>36</v>
      </c>
      <c r="C44" s="20">
        <v>-205515</v>
      </c>
      <c r="D44" s="20">
        <v>-235774</v>
      </c>
      <c r="E44" s="20">
        <v>-267905</v>
      </c>
      <c r="F44" s="20">
        <v>-299014</v>
      </c>
      <c r="G44" s="20">
        <v>-321630</v>
      </c>
      <c r="H44" s="20">
        <v>-351255</v>
      </c>
      <c r="I44" s="20">
        <v>-368080</v>
      </c>
      <c r="J44" s="20">
        <v>-368080</v>
      </c>
      <c r="K44" s="20">
        <v>-397236</v>
      </c>
      <c r="L44" s="20">
        <v>-407670</v>
      </c>
      <c r="M44" s="12">
        <v>-415799</v>
      </c>
      <c r="N44" s="66">
        <f>Assumptions!T51+'Balance Sheet PROJECTED'!M44</f>
        <v>-422799</v>
      </c>
      <c r="O44" s="66">
        <f>Assumptions!U51+'Balance Sheet PROJECTED'!N44</f>
        <v>-422799</v>
      </c>
      <c r="P44" s="66">
        <f>Assumptions!V51+'Balance Sheet PROJECTED'!O44</f>
        <v>-422799</v>
      </c>
      <c r="Q44" s="66">
        <f>Assumptions!W51+'Balance Sheet PROJECTED'!P44</f>
        <v>-422799</v>
      </c>
      <c r="R44" s="66">
        <f>Assumptions!X51+'Balance Sheet PROJECTED'!Q44</f>
        <v>-422799</v>
      </c>
    </row>
    <row r="45" spans="1:18" ht="19.5" customHeight="1">
      <c r="A45" s="9" t="s">
        <v>18</v>
      </c>
      <c r="B45" s="8" t="s">
        <v>34</v>
      </c>
      <c r="C45" s="13">
        <f t="shared" ref="C45:J45" si="10">SUM(C40:C44)</f>
        <v>169415</v>
      </c>
      <c r="D45" s="13">
        <f t="shared" si="10"/>
        <v>157858</v>
      </c>
      <c r="E45" s="13">
        <f t="shared" si="10"/>
        <v>140395</v>
      </c>
      <c r="F45" s="13">
        <f t="shared" si="10"/>
        <v>139387</v>
      </c>
      <c r="G45" s="13">
        <f t="shared" si="10"/>
        <v>155489</v>
      </c>
      <c r="H45" s="13">
        <f t="shared" si="10"/>
        <v>145475</v>
      </c>
      <c r="I45" s="13">
        <f t="shared" si="10"/>
        <v>160313</v>
      </c>
      <c r="J45" s="13">
        <f t="shared" si="10"/>
        <v>200382</v>
      </c>
      <c r="K45" s="13">
        <f>SUM(K40:K44)</f>
        <v>188624</v>
      </c>
      <c r="L45" s="13">
        <f>SUM(L40:L44)</f>
        <v>210178</v>
      </c>
      <c r="M45" s="13">
        <f>SUM(M40:M44)</f>
        <v>230526</v>
      </c>
      <c r="N45" s="13">
        <f t="shared" ref="N45:R45" ca="1" si="11">SUM(N40:N44)</f>
        <v>260511.27790242247</v>
      </c>
      <c r="O45" s="13">
        <f t="shared" ca="1" si="11"/>
        <v>300565.78429505683</v>
      </c>
      <c r="P45" s="13">
        <f t="shared" ca="1" si="11"/>
        <v>343927.25408042839</v>
      </c>
      <c r="Q45" s="13">
        <f t="shared" ca="1" si="11"/>
        <v>390733.4985979679</v>
      </c>
      <c r="R45" s="13">
        <f t="shared" ca="1" si="11"/>
        <v>441586.03945378785</v>
      </c>
    </row>
    <row r="46" spans="1:18" ht="19.5" customHeight="1" thickBot="1">
      <c r="C46" s="18"/>
      <c r="D46" s="18"/>
      <c r="E46" s="18"/>
      <c r="F46" s="18"/>
      <c r="G46" s="18"/>
      <c r="H46" s="18"/>
      <c r="I46" s="18"/>
      <c r="J46" s="18"/>
      <c r="K46" s="18"/>
      <c r="L46" s="18"/>
    </row>
    <row r="47" spans="1:18" ht="19.5" customHeight="1" thickTop="1">
      <c r="A47" s="9" t="s">
        <v>18</v>
      </c>
      <c r="B47" s="1" t="s">
        <v>35</v>
      </c>
      <c r="C47" s="14">
        <f t="shared" ref="C47:L47" si="12">C37+C45</f>
        <v>347680</v>
      </c>
      <c r="D47" s="14">
        <f t="shared" si="12"/>
        <v>339257</v>
      </c>
      <c r="E47" s="14">
        <f t="shared" si="12"/>
        <v>339668</v>
      </c>
      <c r="F47" s="14">
        <f t="shared" si="12"/>
        <v>369717</v>
      </c>
      <c r="G47" s="14">
        <f t="shared" si="12"/>
        <v>317059</v>
      </c>
      <c r="H47" s="14">
        <f t="shared" si="12"/>
        <v>302662</v>
      </c>
      <c r="I47" s="14">
        <f t="shared" si="12"/>
        <v>362637</v>
      </c>
      <c r="J47" s="14">
        <f t="shared" si="12"/>
        <v>430203</v>
      </c>
      <c r="K47" s="14">
        <f t="shared" si="12"/>
        <v>434295</v>
      </c>
      <c r="L47" s="14">
        <f t="shared" si="12"/>
        <v>437966</v>
      </c>
      <c r="M47" s="14">
        <f>M37+M45</f>
        <v>449039</v>
      </c>
      <c r="N47" s="14">
        <f t="shared" ref="N47:R47" ca="1" si="13">N37+N45</f>
        <v>474748.9275058225</v>
      </c>
      <c r="O47" s="14">
        <f t="shared" ca="1" si="13"/>
        <v>516206.15337069484</v>
      </c>
      <c r="P47" s="14">
        <f t="shared" ca="1" si="13"/>
        <v>561514.23699136102</v>
      </c>
      <c r="Q47" s="14">
        <f t="shared" ca="1" si="13"/>
        <v>584849.06231266586</v>
      </c>
      <c r="R47" s="14">
        <f t="shared" ca="1" si="13"/>
        <v>638852.8886285146</v>
      </c>
    </row>
    <row r="48" spans="1:18" ht="19.5" customHeight="1">
      <c r="B48" s="10" t="s">
        <v>37</v>
      </c>
      <c r="C48" s="15">
        <f t="shared" ref="C48:L48" si="14">C19-C47</f>
        <v>0</v>
      </c>
      <c r="D48" s="15">
        <f t="shared" si="14"/>
        <v>0</v>
      </c>
      <c r="E48" s="15">
        <f t="shared" si="14"/>
        <v>0</v>
      </c>
      <c r="F48" s="15">
        <f t="shared" si="14"/>
        <v>0</v>
      </c>
      <c r="G48" s="15">
        <f t="shared" si="14"/>
        <v>0</v>
      </c>
      <c r="H48" s="15">
        <f t="shared" si="14"/>
        <v>0</v>
      </c>
      <c r="I48" s="15">
        <f t="shared" si="14"/>
        <v>0</v>
      </c>
      <c r="J48" s="15">
        <f t="shared" si="14"/>
        <v>0</v>
      </c>
      <c r="K48" s="15">
        <f t="shared" si="14"/>
        <v>0</v>
      </c>
      <c r="L48" s="15">
        <f t="shared" si="14"/>
        <v>0</v>
      </c>
      <c r="M48" s="15">
        <f>M19-M47</f>
        <v>0</v>
      </c>
      <c r="N48" s="15">
        <f t="shared" ref="N48:R48" ca="1" si="15">N19-N47</f>
        <v>0</v>
      </c>
      <c r="O48" s="15">
        <f t="shared" ca="1" si="15"/>
        <v>0</v>
      </c>
      <c r="P48" s="15">
        <f t="shared" ca="1" si="15"/>
        <v>0</v>
      </c>
      <c r="Q48" s="15">
        <f t="shared" ca="1" si="15"/>
        <v>0</v>
      </c>
      <c r="R48" s="15">
        <f t="shared" ca="1" si="15"/>
        <v>0</v>
      </c>
    </row>
    <row r="50" spans="2:18" hidden="1" outlineLevel="1">
      <c r="B50" s="1" t="s">
        <v>241</v>
      </c>
      <c r="C50" s="47">
        <f>SUM(C25:C27,C30:C33)</f>
        <v>98000</v>
      </c>
      <c r="D50" s="47">
        <f t="shared" ref="D50:R50" si="16">SUM(D25:D27,D30:D33)</f>
        <v>108000</v>
      </c>
      <c r="E50" s="47">
        <f t="shared" si="16"/>
        <v>122000</v>
      </c>
      <c r="F50" s="47">
        <f t="shared" si="16"/>
        <v>154000</v>
      </c>
      <c r="G50" s="47">
        <f t="shared" si="16"/>
        <v>86400</v>
      </c>
      <c r="H50" s="47">
        <f t="shared" si="16"/>
        <v>81426</v>
      </c>
      <c r="I50" s="47">
        <f t="shared" si="16"/>
        <v>113898</v>
      </c>
      <c r="J50" s="47">
        <f t="shared" si="16"/>
        <v>115740</v>
      </c>
      <c r="K50" s="47">
        <f t="shared" si="16"/>
        <v>146312</v>
      </c>
      <c r="L50" s="47">
        <f t="shared" si="16"/>
        <v>120543</v>
      </c>
      <c r="M50" s="47">
        <f t="shared" si="16"/>
        <v>94636</v>
      </c>
      <c r="N50" s="47">
        <f t="shared" ca="1" si="16"/>
        <v>88268.800000000003</v>
      </c>
      <c r="O50" s="47">
        <f t="shared" ca="1" si="16"/>
        <v>81901.600000000006</v>
      </c>
      <c r="P50" s="47">
        <f t="shared" ca="1" si="16"/>
        <v>75534.399999999994</v>
      </c>
      <c r="Q50" s="47">
        <f t="shared" ca="1" si="16"/>
        <v>43167.199999999997</v>
      </c>
      <c r="R50" s="47">
        <f t="shared" ca="1" si="16"/>
        <v>36800</v>
      </c>
    </row>
    <row r="51" spans="2:18" hidden="1" outlineLevel="1">
      <c r="B51" s="18"/>
    </row>
    <row r="52" spans="2:18" hidden="1" outlineLevel="1">
      <c r="B52" s="18" t="s">
        <v>271</v>
      </c>
      <c r="C52" s="48">
        <f>'Income Statement'!C28</f>
        <v>15148</v>
      </c>
      <c r="D52" s="48">
        <f>'Income Statement'!D28</f>
        <v>14649</v>
      </c>
      <c r="E52" s="48">
        <f>'Income Statement'!E28</f>
        <v>14379</v>
      </c>
      <c r="F52" s="48">
        <f>'Income Statement'!F28</f>
        <v>14123</v>
      </c>
      <c r="G52" s="48">
        <f>'Income Statement'!G28</f>
        <v>13962</v>
      </c>
      <c r="H52" s="48">
        <f>'Income Statement'!H28</f>
        <v>13830</v>
      </c>
      <c r="I52" s="48">
        <f>'Income Statement'!I28</f>
        <v>13719</v>
      </c>
      <c r="J52" s="48">
        <f>'Income Statement'!J28</f>
        <v>13733</v>
      </c>
      <c r="K52" s="48">
        <f>'Income Statement'!K28</f>
        <v>13696</v>
      </c>
      <c r="L52" s="48">
        <f>'Income Statement'!L28</f>
        <v>13604</v>
      </c>
      <c r="M52" s="48">
        <f>'Income Statement'!M28</f>
        <v>13580</v>
      </c>
    </row>
    <row r="53" spans="2:18" hidden="1" outlineLevel="1">
      <c r="B53" s="18" t="s">
        <v>272</v>
      </c>
      <c r="C53" s="107">
        <v>68.7</v>
      </c>
      <c r="D53" s="107">
        <v>83.74</v>
      </c>
      <c r="E53" s="107">
        <v>118.35</v>
      </c>
      <c r="F53" s="107">
        <v>108.95</v>
      </c>
      <c r="G53" s="107">
        <v>177.45</v>
      </c>
      <c r="H53" s="107">
        <v>182.3</v>
      </c>
      <c r="I53" s="107">
        <v>204.38</v>
      </c>
      <c r="J53" s="107">
        <v>239.63</v>
      </c>
      <c r="K53" s="107">
        <v>189.16</v>
      </c>
      <c r="L53" s="107">
        <v>214.87</v>
      </c>
      <c r="M53" s="107">
        <v>262.83999999999997</v>
      </c>
    </row>
    <row r="54" spans="2:18" hidden="1" outlineLevel="1">
      <c r="B54" s="8" t="s">
        <v>253</v>
      </c>
      <c r="C54" s="13">
        <f>C52*C53</f>
        <v>1040667.6000000001</v>
      </c>
      <c r="D54" s="13">
        <f t="shared" ref="D54:M54" si="17">D52*D53</f>
        <v>1226707.26</v>
      </c>
      <c r="E54" s="13">
        <f t="shared" si="17"/>
        <v>1701754.65</v>
      </c>
      <c r="F54" s="13">
        <f t="shared" si="17"/>
        <v>1538700.85</v>
      </c>
      <c r="G54" s="13">
        <f t="shared" si="17"/>
        <v>2477556.9</v>
      </c>
      <c r="H54" s="13">
        <f t="shared" si="17"/>
        <v>2521209</v>
      </c>
      <c r="I54" s="13">
        <f t="shared" si="17"/>
        <v>2803889.2199999997</v>
      </c>
      <c r="J54" s="13">
        <f t="shared" si="17"/>
        <v>3290838.79</v>
      </c>
      <c r="K54" s="13">
        <f t="shared" si="17"/>
        <v>2590735.3599999999</v>
      </c>
      <c r="L54" s="13">
        <f t="shared" si="17"/>
        <v>2923091.48</v>
      </c>
      <c r="M54" s="13">
        <f t="shared" si="17"/>
        <v>3569367.1999999997</v>
      </c>
    </row>
    <row r="55" spans="2:18" hidden="1" outlineLevel="1">
      <c r="B55" s="18"/>
    </row>
    <row r="56" spans="2:18" hidden="1" outlineLevel="1">
      <c r="B56" s="18" t="s">
        <v>273</v>
      </c>
      <c r="C56" s="47">
        <f>C50+C54</f>
        <v>1138667.6000000001</v>
      </c>
      <c r="D56" s="47">
        <f t="shared" ref="D56:M56" si="18">D50+D54</f>
        <v>1334707.26</v>
      </c>
      <c r="E56" s="47">
        <f t="shared" si="18"/>
        <v>1823754.65</v>
      </c>
      <c r="F56" s="47">
        <f t="shared" si="18"/>
        <v>1692700.85</v>
      </c>
      <c r="G56" s="47">
        <f t="shared" si="18"/>
        <v>2563956.9</v>
      </c>
      <c r="H56" s="47">
        <f t="shared" si="18"/>
        <v>2602635</v>
      </c>
      <c r="I56" s="47">
        <f t="shared" si="18"/>
        <v>2917787.2199999997</v>
      </c>
      <c r="J56" s="47">
        <f t="shared" si="18"/>
        <v>3406578.79</v>
      </c>
      <c r="K56" s="47">
        <f t="shared" si="18"/>
        <v>2737047.36</v>
      </c>
      <c r="L56" s="47">
        <f t="shared" si="18"/>
        <v>3043634.48</v>
      </c>
      <c r="M56" s="47">
        <f t="shared" si="18"/>
        <v>3664003.1999999997</v>
      </c>
    </row>
    <row r="57" spans="2:18" hidden="1" outlineLevel="1">
      <c r="B57" s="18" t="s">
        <v>274</v>
      </c>
      <c r="C57" s="24">
        <f>C50/C56</f>
        <v>8.6065503224997356E-2</v>
      </c>
      <c r="D57" s="24">
        <f t="shared" ref="D57:M57" si="19">D50/D56</f>
        <v>8.0916619873634313E-2</v>
      </c>
      <c r="E57" s="24">
        <f t="shared" si="19"/>
        <v>6.6894963091663678E-2</v>
      </c>
      <c r="F57" s="24">
        <f t="shared" si="19"/>
        <v>9.0978863749019798E-2</v>
      </c>
      <c r="G57" s="24">
        <f t="shared" si="19"/>
        <v>3.3697914344816018E-2</v>
      </c>
      <c r="H57" s="24">
        <f t="shared" si="19"/>
        <v>3.1285985165034669E-2</v>
      </c>
      <c r="I57" s="24">
        <f t="shared" si="19"/>
        <v>3.9035745725145787E-2</v>
      </c>
      <c r="J57" s="24">
        <f t="shared" si="19"/>
        <v>3.3975436100217131E-2</v>
      </c>
      <c r="K57" s="24">
        <f t="shared" si="19"/>
        <v>5.3456144799774313E-2</v>
      </c>
      <c r="L57" s="24">
        <f t="shared" si="19"/>
        <v>3.9604952826004257E-2</v>
      </c>
      <c r="M57" s="24">
        <f t="shared" si="19"/>
        <v>2.5828580062375494E-2</v>
      </c>
    </row>
    <row r="58" spans="2:18" hidden="1" outlineLevel="1">
      <c r="L58" s="1" t="s">
        <v>275</v>
      </c>
      <c r="M58" s="108">
        <f>AVERAGE(K57:M57)</f>
        <v>3.9629892562718025E-2</v>
      </c>
    </row>
    <row r="59" spans="2:18" hidden="1" outlineLevel="1">
      <c r="L59" s="1" t="s">
        <v>276</v>
      </c>
      <c r="M59" s="108">
        <f>AVERAGE(I57:M57)</f>
        <v>3.8380171902703396E-2</v>
      </c>
    </row>
    <row r="60" spans="2:18" hidden="1" outlineLevel="1">
      <c r="L60" s="1" t="s">
        <v>277</v>
      </c>
      <c r="M60" s="108">
        <f>AVERAGE(G57:M57)</f>
        <v>3.6697822717623951E-2</v>
      </c>
    </row>
    <row r="61" spans="2:18" hidden="1" outlineLevel="1">
      <c r="L61" s="1" t="s">
        <v>278</v>
      </c>
      <c r="M61" s="108">
        <f>AVERAGE(D57:M57)</f>
        <v>4.9567520573768543E-2</v>
      </c>
    </row>
    <row r="62" spans="2:18" hidden="1" outlineLevel="1">
      <c r="L62" s="1" t="s">
        <v>279</v>
      </c>
      <c r="M62" s="108">
        <f>MIN(C57:M57)</f>
        <v>2.5828580062375494E-2</v>
      </c>
    </row>
    <row r="63" spans="2:18" hidden="1" outlineLevel="1">
      <c r="L63" s="1" t="s">
        <v>280</v>
      </c>
      <c r="M63" s="108">
        <f>MAX(C57:M57)</f>
        <v>9.0978863749019798E-2</v>
      </c>
    </row>
    <row r="64" spans="2:18" collapsed="1"/>
  </sheetData>
  <pageMargins left="0.7" right="0.7" top="0.75" bottom="0.75" header="0.3" footer="0.3"/>
  <pageSetup scale="50" orientation="portrait" horizontalDpi="1200" verticalDpi="1200" r:id="rId1"/>
  <ignoredErrors>
    <ignoredError sqref="C50:M50" formulaRange="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BC04-8FC2-4C7F-93B7-FF317377ED19}">
  <sheetPr>
    <pageSetUpPr fitToPage="1"/>
  </sheetPr>
  <dimension ref="A1:T28"/>
  <sheetViews>
    <sheetView zoomScaleNormal="100" workbookViewId="0"/>
  </sheetViews>
  <sheetFormatPr baseColWidth="10" defaultColWidth="6.625" defaultRowHeight="12"/>
  <cols>
    <col min="1" max="1" width="11.125" style="81" bestFit="1" customWidth="1"/>
    <col min="2" max="4" width="9.125" style="81" customWidth="1"/>
    <col min="5" max="5" width="9.25" style="81" bestFit="1" customWidth="1"/>
    <col min="6" max="11" width="9.125" style="81" customWidth="1"/>
    <col min="12" max="12" width="10.125" style="81" bestFit="1" customWidth="1"/>
    <col min="13" max="13" width="9.125" style="81" customWidth="1"/>
    <col min="14" max="14" width="6.625" style="81"/>
    <col min="15" max="15" width="7.25" style="81" bestFit="1" customWidth="1"/>
    <col min="16" max="16384" width="6.625" style="81"/>
  </cols>
  <sheetData>
    <row r="1" spans="1:20" ht="25">
      <c r="A1" s="79" t="s">
        <v>238</v>
      </c>
      <c r="B1" s="80"/>
      <c r="C1" s="80"/>
      <c r="D1" s="80"/>
      <c r="E1" s="80"/>
      <c r="F1" s="80"/>
      <c r="G1" s="80"/>
      <c r="H1" s="80"/>
      <c r="I1" s="80"/>
      <c r="J1" s="80"/>
      <c r="K1" s="80"/>
      <c r="L1" s="80"/>
      <c r="M1" s="80"/>
      <c r="N1" s="80"/>
      <c r="O1" s="80"/>
      <c r="P1" s="80"/>
      <c r="Q1" s="80"/>
      <c r="R1" s="80"/>
      <c r="S1" s="80"/>
      <c r="T1" s="80"/>
    </row>
    <row r="2" spans="1:20" ht="13" thickBot="1"/>
    <row r="3" spans="1:20" ht="15" thickBot="1">
      <c r="A3" s="82" t="s">
        <v>250</v>
      </c>
      <c r="L3" s="90" t="s">
        <v>254</v>
      </c>
    </row>
    <row r="4" spans="1:20" ht="14">
      <c r="A4" s="82"/>
      <c r="J4" s="88" t="s">
        <v>583</v>
      </c>
      <c r="L4" s="155">
        <v>221.35</v>
      </c>
    </row>
    <row r="5" spans="1:20" ht="14">
      <c r="A5" s="82" t="s">
        <v>251</v>
      </c>
      <c r="J5" s="88" t="s">
        <v>252</v>
      </c>
      <c r="L5" s="154">
        <v>13546.239</v>
      </c>
    </row>
    <row r="6" spans="1:20" ht="14">
      <c r="G6" s="181"/>
      <c r="J6" s="89" t="s">
        <v>253</v>
      </c>
      <c r="L6" s="13">
        <f>L4*L5</f>
        <v>2998460.0026499997</v>
      </c>
    </row>
    <row r="7" spans="1:20" ht="13" thickBot="1">
      <c r="A7" s="83" t="s">
        <v>239</v>
      </c>
      <c r="B7" s="83" t="s">
        <v>240</v>
      </c>
      <c r="C7" s="83" t="s">
        <v>241</v>
      </c>
      <c r="D7" s="83" t="s">
        <v>242</v>
      </c>
      <c r="E7" s="83" t="s">
        <v>243</v>
      </c>
      <c r="F7" s="83" t="s">
        <v>244</v>
      </c>
      <c r="G7" s="83" t="s">
        <v>245</v>
      </c>
      <c r="H7" s="83" t="s">
        <v>246</v>
      </c>
    </row>
    <row r="8" spans="1:20" ht="15" thickBot="1">
      <c r="A8" s="178">
        <f>F8+0.45%</f>
        <v>4.5300000000000007E-2</v>
      </c>
      <c r="B8" s="84">
        <f>Assumptions!$T$11</f>
        <v>0.23</v>
      </c>
      <c r="C8" s="85">
        <f>L13</f>
        <v>107981</v>
      </c>
      <c r="D8" s="85">
        <f>L6</f>
        <v>2998460.0026499997</v>
      </c>
      <c r="E8" s="81">
        <f>SUM(C8:D8)</f>
        <v>3106441.0026499997</v>
      </c>
      <c r="F8" s="153">
        <v>4.0800000000000003E-2</v>
      </c>
      <c r="G8" s="182">
        <v>0.56000000000000005</v>
      </c>
      <c r="H8" s="153">
        <v>4.1200000000000001E-2</v>
      </c>
      <c r="L8" s="90">
        <v>45626</v>
      </c>
      <c r="M8" s="91" t="s">
        <v>255</v>
      </c>
      <c r="Q8" s="91" t="s">
        <v>267</v>
      </c>
      <c r="R8" s="91" t="s">
        <v>268</v>
      </c>
    </row>
    <row r="9" spans="1:20" ht="14">
      <c r="J9" s="18" t="s">
        <v>187</v>
      </c>
      <c r="L9" s="92">
        <v>41581</v>
      </c>
      <c r="M9" s="93">
        <f>Assumptions!T54</f>
        <v>6.4000000000000001E-2</v>
      </c>
      <c r="P9" s="102">
        <v>45535</v>
      </c>
      <c r="Q9" s="104">
        <v>5.3999999999999999E-2</v>
      </c>
      <c r="R9" s="103">
        <f>Q9+1%</f>
        <v>6.4000000000000001E-2</v>
      </c>
    </row>
    <row r="10" spans="1:20" ht="14">
      <c r="C10" s="83" t="s">
        <v>241</v>
      </c>
      <c r="D10" s="83" t="s">
        <v>242</v>
      </c>
      <c r="J10" s="18" t="s">
        <v>256</v>
      </c>
      <c r="L10" s="94">
        <v>14400</v>
      </c>
      <c r="M10" s="93">
        <f>Assumptions!T55</f>
        <v>3.39E-2</v>
      </c>
      <c r="P10" s="102">
        <v>45626</v>
      </c>
      <c r="Q10" s="104">
        <v>4.5900000000000003E-2</v>
      </c>
      <c r="R10" s="103">
        <f>Q10+1%</f>
        <v>5.5900000000000005E-2</v>
      </c>
    </row>
    <row r="11" spans="1:20" ht="14">
      <c r="A11" s="81" t="s">
        <v>247</v>
      </c>
      <c r="C11" s="86">
        <f>C8/E8</f>
        <v>3.4760357562846053E-2</v>
      </c>
      <c r="D11" s="86">
        <f>D8/E8</f>
        <v>0.96523964243715399</v>
      </c>
      <c r="J11" s="18" t="s">
        <v>257</v>
      </c>
      <c r="L11" s="94">
        <v>26000</v>
      </c>
      <c r="M11" s="93">
        <f>Assumptions!T56</f>
        <v>2.5000000000000001E-2</v>
      </c>
      <c r="P11" s="102">
        <v>45730</v>
      </c>
      <c r="Q11" s="104">
        <v>4.2999999999999997E-2</v>
      </c>
      <c r="R11" s="103">
        <f>Q11+1%</f>
        <v>5.2999999999999999E-2</v>
      </c>
    </row>
    <row r="12" spans="1:20" ht="14">
      <c r="A12" s="81" t="s">
        <v>248</v>
      </c>
      <c r="C12" s="109">
        <v>0.06</v>
      </c>
      <c r="D12" s="109">
        <v>0.94</v>
      </c>
      <c r="J12" s="18" t="s">
        <v>258</v>
      </c>
      <c r="L12" s="94">
        <v>26000</v>
      </c>
      <c r="M12" s="93">
        <f>Assumptions!T57</f>
        <v>2.69E-2</v>
      </c>
      <c r="O12" s="106" t="s">
        <v>270</v>
      </c>
    </row>
    <row r="13" spans="1:20" ht="15" thickBot="1">
      <c r="J13" s="8" t="s">
        <v>205</v>
      </c>
      <c r="L13" s="13">
        <f>SUM(L9:L12)</f>
        <v>107981</v>
      </c>
      <c r="M13" s="95">
        <f>SUMPRODUCT(L9:L12,M9:M12)/L13</f>
        <v>4.1662366527444643E-2</v>
      </c>
      <c r="O13" s="105" t="s">
        <v>269</v>
      </c>
    </row>
    <row r="14" spans="1:20" ht="13" thickBot="1">
      <c r="A14" s="87" t="s">
        <v>249</v>
      </c>
      <c r="B14" s="156">
        <f>(A8*(1-B8)*C12)+(((F8+(G8*H8))*D12))</f>
        <v>6.2132540000000007E-2</v>
      </c>
    </row>
    <row r="15" spans="1:20" ht="14">
      <c r="J15" s="96" t="s">
        <v>266</v>
      </c>
    </row>
    <row r="17" spans="1:13" ht="14">
      <c r="A17" s="18"/>
      <c r="B17" s="97">
        <v>41517</v>
      </c>
      <c r="C17" s="97">
        <v>41882</v>
      </c>
      <c r="D17" s="97">
        <v>42247</v>
      </c>
      <c r="E17" s="97">
        <v>42613</v>
      </c>
      <c r="F17" s="97">
        <v>42978</v>
      </c>
      <c r="G17" s="97">
        <v>43343</v>
      </c>
      <c r="H17" s="97">
        <v>43708</v>
      </c>
      <c r="I17" s="97">
        <v>44074</v>
      </c>
      <c r="J17" s="97">
        <v>44439</v>
      </c>
      <c r="K17" s="97">
        <v>44804</v>
      </c>
      <c r="L17" s="97">
        <v>45169</v>
      </c>
      <c r="M17" s="97">
        <v>45535</v>
      </c>
    </row>
    <row r="18" spans="1:13" ht="14">
      <c r="A18" s="18" t="s">
        <v>259</v>
      </c>
      <c r="B18" s="98">
        <v>51569</v>
      </c>
      <c r="C18" s="98">
        <v>38730</v>
      </c>
      <c r="D18" s="98">
        <v>55064</v>
      </c>
      <c r="E18" s="98">
        <v>65302</v>
      </c>
      <c r="F18" s="98">
        <v>55572</v>
      </c>
      <c r="G18" s="98">
        <v>64822</v>
      </c>
      <c r="H18" s="98">
        <v>62851</v>
      </c>
      <c r="I18" s="98">
        <v>72664</v>
      </c>
      <c r="J18" s="98">
        <v>84714</v>
      </c>
      <c r="K18" s="98">
        <v>2604</v>
      </c>
      <c r="L18" s="98">
        <v>98391</v>
      </c>
      <c r="M18" s="98">
        <v>92034</v>
      </c>
    </row>
    <row r="19" spans="1:13" ht="14">
      <c r="A19" s="18" t="s">
        <v>260</v>
      </c>
      <c r="B19" s="99">
        <f>STDEV(D18:M18)</f>
        <v>26619.06894105969</v>
      </c>
      <c r="C19" s="18"/>
      <c r="D19" s="18"/>
      <c r="E19" s="18"/>
      <c r="F19" s="18"/>
      <c r="G19" s="18"/>
      <c r="H19" s="18"/>
      <c r="I19" s="18"/>
      <c r="J19" s="18"/>
      <c r="K19" s="18"/>
      <c r="L19" s="18"/>
    </row>
    <row r="20" spans="1:13" ht="14">
      <c r="A20" s="18" t="s">
        <v>261</v>
      </c>
      <c r="B20" s="99">
        <f>AVERAGE(D18:M18)</f>
        <v>65401.8</v>
      </c>
      <c r="M20" s="18"/>
    </row>
    <row r="21" spans="1:13" ht="14">
      <c r="M21" s="18"/>
    </row>
    <row r="22" spans="1:13" ht="15" thickBot="1">
      <c r="B22" s="97">
        <v>45730</v>
      </c>
      <c r="C22" s="97">
        <v>45372</v>
      </c>
      <c r="D22" s="97">
        <v>45009</v>
      </c>
      <c r="E22" s="97">
        <v>44644</v>
      </c>
      <c r="F22" s="97">
        <v>44288</v>
      </c>
      <c r="G22" s="97">
        <v>43938</v>
      </c>
      <c r="H22" s="97">
        <v>43567</v>
      </c>
      <c r="I22" s="97">
        <v>43189</v>
      </c>
      <c r="J22" s="97">
        <v>42840</v>
      </c>
      <c r="K22" s="97">
        <v>42461</v>
      </c>
      <c r="L22" s="97">
        <v>42097</v>
      </c>
      <c r="M22" s="97">
        <v>41740</v>
      </c>
    </row>
    <row r="23" spans="1:13" ht="15" thickBot="1">
      <c r="A23" s="1" t="s">
        <v>245</v>
      </c>
      <c r="B23" s="100">
        <f>B19/B20</f>
        <v>0.40700820070792681</v>
      </c>
      <c r="C23" s="101">
        <v>0.43321480102640109</v>
      </c>
      <c r="D23" s="101">
        <v>0.40279495347749655</v>
      </c>
      <c r="E23" s="101">
        <v>0.26</v>
      </c>
      <c r="F23" s="101">
        <v>0.27165332950924198</v>
      </c>
      <c r="G23" s="101">
        <v>0.24859785044840824</v>
      </c>
      <c r="H23" s="101">
        <v>0.26953795233204897</v>
      </c>
      <c r="I23" s="101">
        <v>0.27121661470448138</v>
      </c>
      <c r="J23" s="101">
        <v>0.27052609262982225</v>
      </c>
      <c r="K23" s="101">
        <v>0.27844841953794358</v>
      </c>
      <c r="L23" s="101">
        <v>0.27387249975914679</v>
      </c>
      <c r="M23" s="101">
        <v>0.28537779611675479</v>
      </c>
    </row>
    <row r="24" spans="1:13" ht="14">
      <c r="A24" s="1" t="s">
        <v>262</v>
      </c>
      <c r="B24" s="101">
        <v>-0.11</v>
      </c>
      <c r="C24" s="101">
        <v>-0.06</v>
      </c>
      <c r="D24" s="101">
        <v>-0.18</v>
      </c>
      <c r="E24" s="101">
        <v>-0.14000000000000001</v>
      </c>
      <c r="F24" s="101">
        <v>-0.17</v>
      </c>
      <c r="G24" s="101">
        <v>7.0000000000000007E-2</v>
      </c>
      <c r="H24" s="101">
        <v>0.19</v>
      </c>
      <c r="I24" s="101">
        <v>0.28000000000000003</v>
      </c>
      <c r="J24" s="101">
        <v>0.34</v>
      </c>
      <c r="K24" s="101">
        <v>0.66</v>
      </c>
      <c r="L24" s="101">
        <v>0.93</v>
      </c>
      <c r="M24" s="101">
        <v>0.91</v>
      </c>
    </row>
    <row r="25" spans="1:13" ht="14">
      <c r="A25" s="1" t="s">
        <v>263</v>
      </c>
      <c r="B25" s="101">
        <v>0.56000000000000005</v>
      </c>
      <c r="C25" s="101">
        <v>0.53</v>
      </c>
      <c r="D25" s="101">
        <v>0.45</v>
      </c>
      <c r="E25" s="101">
        <v>0.36</v>
      </c>
      <c r="F25" s="101">
        <v>0.36</v>
      </c>
      <c r="G25" s="101">
        <v>0.25</v>
      </c>
      <c r="H25" s="101">
        <v>0.02</v>
      </c>
      <c r="I25" s="101">
        <v>0.13</v>
      </c>
      <c r="J25" s="101">
        <v>0.38</v>
      </c>
      <c r="K25" s="101">
        <v>0.63</v>
      </c>
      <c r="L25" s="101">
        <v>0.61</v>
      </c>
      <c r="M25" s="101">
        <v>0.18</v>
      </c>
    </row>
    <row r="26" spans="1:13" ht="14">
      <c r="A26" s="1" t="s">
        <v>264</v>
      </c>
      <c r="B26" s="101">
        <v>0.44</v>
      </c>
      <c r="C26" s="101">
        <v>0.42</v>
      </c>
      <c r="D26" s="101">
        <v>0.27</v>
      </c>
      <c r="E26" s="101">
        <v>0.18</v>
      </c>
      <c r="F26" s="101">
        <v>0.18</v>
      </c>
      <c r="G26" s="101">
        <v>0.17</v>
      </c>
      <c r="H26" s="101">
        <v>0.47</v>
      </c>
      <c r="I26" s="101">
        <v>0.34</v>
      </c>
      <c r="J26" s="101">
        <v>0.23</v>
      </c>
      <c r="K26" s="101">
        <v>0.4</v>
      </c>
      <c r="L26" s="101">
        <v>0.5</v>
      </c>
      <c r="M26" s="101">
        <v>0.47</v>
      </c>
    </row>
    <row r="28" spans="1:13" ht="14">
      <c r="A28" s="88" t="s">
        <v>265</v>
      </c>
      <c r="B28" s="88"/>
    </row>
  </sheetData>
  <hyperlinks>
    <hyperlink ref="O13" r:id="rId1" xr:uid="{49123325-B74E-4C83-840D-BE6B43A51A1D}"/>
  </hyperlinks>
  <pageMargins left="0.7" right="0.7" top="0.75" bottom="0.75" header="0.3" footer="0.3"/>
  <pageSetup scale="54" orientation="landscape" r:id="rId2"/>
  <ignoredErrors>
    <ignoredError sqref="B19:B20 L13:M13" formulaRange="1"/>
    <ignoredError sqref="R9:R11 A8 B8:E8 C11:D11 B14" unlockedFormula="1"/>
  </ignoredError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1559C-6B55-4E47-93F4-B1E981FA12BA}">
  <dimension ref="A1:P52"/>
  <sheetViews>
    <sheetView topLeftCell="A4" workbookViewId="0">
      <selection activeCell="D33" sqref="D33"/>
    </sheetView>
  </sheetViews>
  <sheetFormatPr baseColWidth="10" defaultColWidth="8.75" defaultRowHeight="14"/>
  <cols>
    <col min="1" max="256" width="8.75" style="111" customWidth="1"/>
    <col min="257" max="16384" width="8.75" style="111"/>
  </cols>
  <sheetData>
    <row r="1" spans="1:16" ht="18">
      <c r="A1" s="110" t="s">
        <v>281</v>
      </c>
      <c r="O1" s="112" t="s">
        <v>282</v>
      </c>
      <c r="P1" s="111">
        <v>1</v>
      </c>
    </row>
    <row r="2" spans="1:16" ht="18">
      <c r="A2" s="110" t="s">
        <v>283</v>
      </c>
      <c r="O2" s="112" t="s">
        <v>284</v>
      </c>
      <c r="P2" s="111">
        <v>2</v>
      </c>
    </row>
    <row r="3" spans="1:16" s="114" customFormat="1" ht="17" thickBot="1">
      <c r="A3" s="113" t="s">
        <v>285</v>
      </c>
      <c r="P3" s="114">
        <v>3</v>
      </c>
    </row>
    <row r="4" spans="1:16" s="112" customFormat="1" ht="15" thickBot="1">
      <c r="A4" s="115" t="s">
        <v>286</v>
      </c>
      <c r="B4" s="115"/>
      <c r="C4" s="116">
        <v>2</v>
      </c>
      <c r="D4" s="115" t="s">
        <v>287</v>
      </c>
      <c r="E4" s="115"/>
      <c r="F4" s="115"/>
      <c r="G4" s="115"/>
      <c r="H4" s="115"/>
      <c r="I4" s="115" t="s">
        <v>288</v>
      </c>
      <c r="J4" s="115"/>
    </row>
    <row r="5" spans="1:16" s="112" customFormat="1">
      <c r="A5" s="115" t="s">
        <v>289</v>
      </c>
      <c r="B5" s="115"/>
      <c r="C5" s="115"/>
      <c r="D5" s="115"/>
      <c r="E5" s="115"/>
      <c r="F5" s="117" t="s">
        <v>284</v>
      </c>
      <c r="G5" s="115" t="s">
        <v>290</v>
      </c>
      <c r="H5" s="115"/>
      <c r="I5" s="115"/>
      <c r="J5" s="115"/>
    </row>
    <row r="6" spans="1:16" s="112" customFormat="1" ht="15" thickBot="1">
      <c r="A6" s="115" t="s">
        <v>291</v>
      </c>
      <c r="B6" s="115"/>
      <c r="C6" s="115"/>
      <c r="D6" s="115"/>
      <c r="E6" s="115"/>
      <c r="F6" s="179">
        <f>'Income Statement'!M14</f>
        <v>96351</v>
      </c>
      <c r="G6" s="115" t="s">
        <v>292</v>
      </c>
      <c r="H6" s="115"/>
      <c r="I6" s="115"/>
      <c r="J6" s="115"/>
    </row>
    <row r="7" spans="1:16" s="112" customFormat="1" ht="15" thickBot="1">
      <c r="A7" s="115" t="s">
        <v>293</v>
      </c>
      <c r="B7" s="115"/>
      <c r="C7" s="115"/>
      <c r="D7" s="115"/>
      <c r="E7" s="115"/>
      <c r="F7" s="180">
        <f>-'Income Statement'!M16</f>
        <v>4287</v>
      </c>
      <c r="G7" s="115" t="s">
        <v>294</v>
      </c>
      <c r="H7" s="115"/>
      <c r="I7" s="115"/>
      <c r="J7" s="115"/>
    </row>
    <row r="8" spans="1:16" s="112" customFormat="1" ht="15" thickBot="1">
      <c r="A8" s="115" t="s">
        <v>295</v>
      </c>
      <c r="B8" s="115"/>
      <c r="C8" s="115"/>
      <c r="D8" s="115"/>
      <c r="E8" s="115"/>
      <c r="F8" s="118">
        <v>0.03</v>
      </c>
      <c r="G8" s="115"/>
      <c r="H8" s="115"/>
      <c r="I8" s="115"/>
      <c r="J8" s="115"/>
    </row>
    <row r="9" spans="1:16" s="112" customFormat="1" ht="15" thickBot="1">
      <c r="A9" s="119" t="s">
        <v>296</v>
      </c>
      <c r="B9" s="115"/>
      <c r="C9" s="115"/>
      <c r="D9" s="115"/>
      <c r="E9" s="115"/>
      <c r="F9" s="115"/>
      <c r="G9" s="115"/>
      <c r="H9" s="115"/>
      <c r="I9" s="115"/>
      <c r="J9" s="115"/>
    </row>
    <row r="10" spans="1:16" s="112" customFormat="1" ht="15" thickBot="1">
      <c r="A10" s="115" t="s">
        <v>297</v>
      </c>
      <c r="B10" s="115"/>
      <c r="C10" s="115"/>
      <c r="D10" s="120">
        <f>IF(F5="Yes",'Operating Leases'!F32/('Start here Ratings sheet'!F7+'Operating Leases'!C29*'Start here Ratings sheet'!D13),IF('Start here Ratings sheet'!F7&gt;0,'Start here Ratings sheet'!F6/'Start here Ratings sheet'!F7,100000))</f>
        <v>22.475157452764172</v>
      </c>
      <c r="E10" s="115"/>
      <c r="F10" s="115"/>
      <c r="G10" s="115"/>
      <c r="H10" s="115"/>
      <c r="I10" s="115"/>
      <c r="J10" s="115"/>
    </row>
    <row r="11" spans="1:16" s="112" customFormat="1" ht="15" thickBot="1">
      <c r="A11" s="115" t="s">
        <v>298</v>
      </c>
      <c r="D11" s="121" t="str">
        <f>IF(C4=1,VLOOKUP(D10,A19:D33,3),(IF(C4=2,VLOOKUP(D10,A38:D52,3),VLOOKUP(D10,F19:I33,3))))</f>
        <v>Aaa/AAA</v>
      </c>
      <c r="F11" s="122" t="s">
        <v>299</v>
      </c>
    </row>
    <row r="12" spans="1:16" s="112" customFormat="1" ht="15" thickBot="1">
      <c r="A12" s="115" t="s">
        <v>300</v>
      </c>
      <c r="D12" s="123">
        <f>IF(C4=1,VLOOKUP(D10,A19:D33,4),(IF(C4=2,VLOOKUP(D10,A38:D52,4),VLOOKUP(D10,F19:I33,4))))</f>
        <v>4.4999999999999997E-3</v>
      </c>
      <c r="F12" s="122" t="s">
        <v>301</v>
      </c>
    </row>
    <row r="13" spans="1:16" s="115" customFormat="1" thickBot="1">
      <c r="A13" s="115" t="s">
        <v>302</v>
      </c>
      <c r="D13" s="124">
        <f>F8+D12</f>
        <v>3.4499999999999996E-2</v>
      </c>
    </row>
    <row r="14" spans="1:16" s="115" customFormat="1" ht="13">
      <c r="D14" s="125"/>
    </row>
    <row r="15" spans="1:16" s="126" customFormat="1" ht="13">
      <c r="A15" s="126" t="s">
        <v>303</v>
      </c>
      <c r="D15" s="127"/>
    </row>
    <row r="16" spans="1:16" s="112" customFormat="1">
      <c r="A16" s="119" t="s">
        <v>304</v>
      </c>
      <c r="F16" s="119" t="s">
        <v>305</v>
      </c>
    </row>
    <row r="17" spans="1:10" s="112" customFormat="1">
      <c r="A17" s="128" t="s">
        <v>306</v>
      </c>
      <c r="B17" s="128"/>
      <c r="C17" s="129"/>
      <c r="D17" s="129"/>
      <c r="F17" s="126" t="s">
        <v>307</v>
      </c>
      <c r="G17" s="130"/>
      <c r="H17" s="115"/>
      <c r="I17" s="115"/>
      <c r="J17" s="115"/>
    </row>
    <row r="18" spans="1:10" s="112" customFormat="1">
      <c r="A18" s="131" t="s">
        <v>308</v>
      </c>
      <c r="B18" s="131" t="s">
        <v>309</v>
      </c>
      <c r="C18" s="131" t="s">
        <v>310</v>
      </c>
      <c r="D18" s="131" t="s">
        <v>311</v>
      </c>
      <c r="F18" s="132" t="s">
        <v>312</v>
      </c>
      <c r="G18" s="132" t="s">
        <v>309</v>
      </c>
      <c r="H18" s="132" t="s">
        <v>310</v>
      </c>
      <c r="I18" s="132" t="s">
        <v>311</v>
      </c>
    </row>
    <row r="19" spans="1:10" s="112" customFormat="1">
      <c r="A19" s="133">
        <v>-100000</v>
      </c>
      <c r="B19" s="133">
        <v>0.19999900000000001</v>
      </c>
      <c r="C19" s="133" t="s">
        <v>313</v>
      </c>
      <c r="D19" s="134">
        <v>0.19</v>
      </c>
      <c r="F19" s="132">
        <v>-100000</v>
      </c>
      <c r="G19" s="132">
        <v>4.9999000000000002E-2</v>
      </c>
      <c r="H19" s="135" t="s">
        <v>313</v>
      </c>
      <c r="I19" s="134">
        <v>0.19</v>
      </c>
    </row>
    <row r="20" spans="1:10" s="112" customFormat="1">
      <c r="A20" s="133">
        <v>0.2</v>
      </c>
      <c r="B20" s="133">
        <v>0.64999899999999999</v>
      </c>
      <c r="C20" s="133" t="s">
        <v>314</v>
      </c>
      <c r="D20" s="134">
        <v>0.155</v>
      </c>
      <c r="F20" s="132">
        <v>0.05</v>
      </c>
      <c r="G20" s="132">
        <v>9.9999000000000005E-2</v>
      </c>
      <c r="H20" s="135" t="s">
        <v>314</v>
      </c>
      <c r="I20" s="134">
        <v>0.155</v>
      </c>
    </row>
    <row r="21" spans="1:10" s="112" customFormat="1">
      <c r="A21" s="133">
        <v>0.65</v>
      </c>
      <c r="B21" s="133">
        <v>0.79999900000000002</v>
      </c>
      <c r="C21" s="133" t="s">
        <v>315</v>
      </c>
      <c r="D21" s="134">
        <v>0.10100000000000001</v>
      </c>
      <c r="F21" s="132">
        <v>0.1</v>
      </c>
      <c r="G21" s="132">
        <v>0.19999900000000001</v>
      </c>
      <c r="H21" s="135" t="s">
        <v>315</v>
      </c>
      <c r="I21" s="134">
        <v>0.10100000000000001</v>
      </c>
    </row>
    <row r="22" spans="1:10" s="112" customFormat="1">
      <c r="A22" s="133">
        <v>0.8</v>
      </c>
      <c r="B22" s="133">
        <v>1.2499990000000001</v>
      </c>
      <c r="C22" s="133" t="s">
        <v>316</v>
      </c>
      <c r="D22" s="134">
        <v>7.2800000000000004E-2</v>
      </c>
      <c r="F22" s="132">
        <v>0.2</v>
      </c>
      <c r="G22" s="132">
        <v>0.29999900000000002</v>
      </c>
      <c r="H22" s="135" t="s">
        <v>316</v>
      </c>
      <c r="I22" s="134">
        <v>7.2800000000000004E-2</v>
      </c>
    </row>
    <row r="23" spans="1:10" s="112" customFormat="1">
      <c r="A23" s="133">
        <v>1.25</v>
      </c>
      <c r="B23" s="133">
        <v>1.4999990000000001</v>
      </c>
      <c r="C23" s="133" t="s">
        <v>317</v>
      </c>
      <c r="D23" s="134">
        <v>4.4200000000000003E-2</v>
      </c>
      <c r="F23" s="132">
        <v>0.3</v>
      </c>
      <c r="G23" s="132">
        <v>0.39999899999999999</v>
      </c>
      <c r="H23" s="135" t="s">
        <v>317</v>
      </c>
      <c r="I23" s="134">
        <v>4.4200000000000003E-2</v>
      </c>
    </row>
    <row r="24" spans="1:10" s="112" customFormat="1">
      <c r="A24" s="133">
        <v>1.5</v>
      </c>
      <c r="B24" s="133">
        <v>1.7499990000000001</v>
      </c>
      <c r="C24" s="133" t="s">
        <v>318</v>
      </c>
      <c r="D24" s="134">
        <v>0.03</v>
      </c>
      <c r="F24" s="132">
        <v>0.4</v>
      </c>
      <c r="G24" s="132">
        <v>0.49999900000000003</v>
      </c>
      <c r="H24" s="135" t="s">
        <v>318</v>
      </c>
      <c r="I24" s="134">
        <v>0.03</v>
      </c>
    </row>
    <row r="25" spans="1:10" s="112" customFormat="1">
      <c r="A25" s="133">
        <v>1.75</v>
      </c>
      <c r="B25" s="133">
        <v>1.9999990000000001</v>
      </c>
      <c r="C25" s="133" t="s">
        <v>319</v>
      </c>
      <c r="D25" s="134">
        <v>2.6100000000000002E-2</v>
      </c>
      <c r="F25" s="132">
        <v>0.5</v>
      </c>
      <c r="G25" s="132">
        <v>0.59999899999999995</v>
      </c>
      <c r="H25" s="135" t="s">
        <v>319</v>
      </c>
      <c r="I25" s="134">
        <v>2.6100000000000002E-2</v>
      </c>
    </row>
    <row r="26" spans="1:10" s="112" customFormat="1">
      <c r="A26" s="133">
        <v>2</v>
      </c>
      <c r="B26" s="133">
        <v>2.2499999000000002</v>
      </c>
      <c r="C26" s="133" t="s">
        <v>320</v>
      </c>
      <c r="D26" s="134">
        <v>1.83E-2</v>
      </c>
      <c r="F26" s="132">
        <v>0.6</v>
      </c>
      <c r="G26" s="132">
        <v>0.74999899999999997</v>
      </c>
      <c r="H26" s="135" t="s">
        <v>320</v>
      </c>
      <c r="I26" s="134">
        <v>1.83E-2</v>
      </c>
    </row>
    <row r="27" spans="1:10" s="112" customFormat="1">
      <c r="A27" s="133">
        <v>2.25</v>
      </c>
      <c r="B27" s="133">
        <v>2.4999899999999999</v>
      </c>
      <c r="C27" s="133" t="s">
        <v>321</v>
      </c>
      <c r="D27" s="134">
        <v>1.55E-2</v>
      </c>
      <c r="F27" s="132">
        <v>0.75</v>
      </c>
      <c r="G27" s="132">
        <v>0.89999899999999999</v>
      </c>
      <c r="H27" s="135" t="s">
        <v>321</v>
      </c>
      <c r="I27" s="134">
        <v>1.55E-2</v>
      </c>
    </row>
    <row r="28" spans="1:10" s="112" customFormat="1">
      <c r="A28" s="133">
        <v>2.5</v>
      </c>
      <c r="B28" s="133">
        <v>2.9999989999999999</v>
      </c>
      <c r="C28" s="133" t="s">
        <v>322</v>
      </c>
      <c r="D28" s="134">
        <v>1.2E-2</v>
      </c>
      <c r="F28" s="132">
        <v>0.9</v>
      </c>
      <c r="G28" s="132">
        <v>1.199999</v>
      </c>
      <c r="H28" s="135" t="s">
        <v>322</v>
      </c>
      <c r="I28" s="134">
        <v>1.2E-2</v>
      </c>
    </row>
    <row r="29" spans="1:10" s="112" customFormat="1">
      <c r="A29" s="133">
        <v>3</v>
      </c>
      <c r="B29" s="133">
        <v>4.2499989999999999</v>
      </c>
      <c r="C29" s="133" t="s">
        <v>323</v>
      </c>
      <c r="D29" s="134">
        <v>9.4999999999999998E-3</v>
      </c>
      <c r="F29" s="132">
        <v>1.2</v>
      </c>
      <c r="G29" s="132">
        <v>1.4999899999999999</v>
      </c>
      <c r="H29" s="135" t="s">
        <v>323</v>
      </c>
      <c r="I29" s="134">
        <v>9.4999999999999998E-3</v>
      </c>
    </row>
    <row r="30" spans="1:10" s="112" customFormat="1">
      <c r="A30" s="133">
        <v>4.25</v>
      </c>
      <c r="B30" s="133">
        <v>5.4999989999999999</v>
      </c>
      <c r="C30" s="133" t="s">
        <v>324</v>
      </c>
      <c r="D30" s="134">
        <v>8.5000000000000006E-3</v>
      </c>
      <c r="F30" s="132">
        <v>1.5</v>
      </c>
      <c r="G30" s="132">
        <v>1.9999899999999999</v>
      </c>
      <c r="H30" s="135" t="s">
        <v>324</v>
      </c>
      <c r="I30" s="134">
        <v>8.5000000000000006E-3</v>
      </c>
    </row>
    <row r="31" spans="1:10" s="112" customFormat="1">
      <c r="A31" s="133">
        <v>5.5</v>
      </c>
      <c r="B31" s="133">
        <v>6.4999989999999999</v>
      </c>
      <c r="C31" s="133" t="s">
        <v>325</v>
      </c>
      <c r="D31" s="134">
        <v>7.7000000000000002E-3</v>
      </c>
      <c r="F31" s="132">
        <v>2</v>
      </c>
      <c r="G31" s="132">
        <v>2.4999899999999999</v>
      </c>
      <c r="H31" s="135" t="s">
        <v>325</v>
      </c>
      <c r="I31" s="134">
        <v>7.7000000000000002E-3</v>
      </c>
    </row>
    <row r="32" spans="1:10" s="112" customFormat="1">
      <c r="A32" s="133">
        <v>6.5</v>
      </c>
      <c r="B32" s="133">
        <v>8.4999990000000007</v>
      </c>
      <c r="C32" s="133" t="s">
        <v>326</v>
      </c>
      <c r="D32" s="134">
        <v>6.0000000000000001E-3</v>
      </c>
      <c r="F32" s="132">
        <v>2.5</v>
      </c>
      <c r="G32" s="132">
        <v>2.9999899999999999</v>
      </c>
      <c r="H32" s="135" t="s">
        <v>326</v>
      </c>
      <c r="I32" s="134">
        <v>6.0000000000000001E-3</v>
      </c>
    </row>
    <row r="33" spans="1:10" s="112" customFormat="1">
      <c r="A33" s="136">
        <v>8.5</v>
      </c>
      <c r="B33" s="133">
        <v>100000</v>
      </c>
      <c r="C33" s="133" t="s">
        <v>327</v>
      </c>
      <c r="D33" s="134">
        <v>4.4999999999999997E-3</v>
      </c>
      <c r="F33" s="132">
        <v>3</v>
      </c>
      <c r="G33" s="132">
        <v>100000</v>
      </c>
      <c r="H33" s="135" t="s">
        <v>327</v>
      </c>
      <c r="I33" s="134">
        <v>4.4999999999999997E-3</v>
      </c>
    </row>
    <row r="34" spans="1:10" s="112" customFormat="1">
      <c r="A34" s="137"/>
      <c r="B34" s="137"/>
      <c r="C34" s="137"/>
      <c r="D34" s="137"/>
    </row>
    <row r="35" spans="1:10" s="112" customFormat="1">
      <c r="A35" s="138" t="s">
        <v>328</v>
      </c>
      <c r="B35" s="137"/>
      <c r="C35" s="137"/>
      <c r="D35" s="137"/>
    </row>
    <row r="36" spans="1:10" s="112" customFormat="1">
      <c r="A36" s="318" t="s">
        <v>306</v>
      </c>
      <c r="B36" s="319"/>
      <c r="C36" s="133"/>
      <c r="D36" s="133"/>
      <c r="F36" s="111"/>
      <c r="G36" s="111"/>
      <c r="H36" s="111"/>
      <c r="I36" s="111"/>
      <c r="J36" s="111"/>
    </row>
    <row r="37" spans="1:10" s="112" customFormat="1">
      <c r="A37" s="133" t="s">
        <v>312</v>
      </c>
      <c r="B37" s="133" t="s">
        <v>309</v>
      </c>
      <c r="C37" s="133" t="s">
        <v>310</v>
      </c>
      <c r="D37" s="133" t="s">
        <v>311</v>
      </c>
      <c r="F37" s="111"/>
      <c r="G37" s="111"/>
      <c r="H37" s="111"/>
      <c r="I37" s="111"/>
      <c r="J37" s="111"/>
    </row>
    <row r="38" spans="1:10" s="112" customFormat="1">
      <c r="A38" s="133">
        <v>-100000</v>
      </c>
      <c r="B38" s="133">
        <v>0.49999900000000003</v>
      </c>
      <c r="C38" s="133" t="s">
        <v>313</v>
      </c>
      <c r="D38" s="134">
        <v>0.19</v>
      </c>
      <c r="F38" s="111"/>
      <c r="G38" s="111"/>
      <c r="H38" s="111"/>
      <c r="I38" s="111"/>
      <c r="J38" s="111"/>
    </row>
    <row r="39" spans="1:10" s="112" customFormat="1">
      <c r="A39" s="133">
        <v>0.5</v>
      </c>
      <c r="B39" s="133">
        <v>0.79999900000000002</v>
      </c>
      <c r="C39" s="133" t="s">
        <v>314</v>
      </c>
      <c r="D39" s="134">
        <v>0.155</v>
      </c>
      <c r="F39" s="111"/>
      <c r="G39" s="111"/>
      <c r="H39" s="111"/>
      <c r="I39" s="111"/>
      <c r="J39" s="111"/>
    </row>
    <row r="40" spans="1:10" s="112" customFormat="1">
      <c r="A40" s="133">
        <v>0.8</v>
      </c>
      <c r="B40" s="133">
        <v>1.2499990000000001</v>
      </c>
      <c r="C40" s="133" t="s">
        <v>315</v>
      </c>
      <c r="D40" s="134">
        <v>0.10100000000000001</v>
      </c>
      <c r="F40" s="111"/>
      <c r="G40" s="111"/>
      <c r="H40" s="111"/>
      <c r="I40" s="111"/>
      <c r="J40" s="111"/>
    </row>
    <row r="41" spans="1:10" s="112" customFormat="1">
      <c r="A41" s="133">
        <v>1.25</v>
      </c>
      <c r="B41" s="133">
        <v>1.4999990000000001</v>
      </c>
      <c r="C41" s="133" t="s">
        <v>316</v>
      </c>
      <c r="D41" s="134">
        <v>7.2800000000000004E-2</v>
      </c>
      <c r="F41" s="111"/>
      <c r="G41" s="111"/>
      <c r="H41" s="111"/>
      <c r="I41" s="111"/>
      <c r="J41" s="111"/>
    </row>
    <row r="42" spans="1:10" s="112" customFormat="1">
      <c r="A42" s="133">
        <v>1.5</v>
      </c>
      <c r="B42" s="133">
        <v>1.9999990000000001</v>
      </c>
      <c r="C42" s="133" t="s">
        <v>317</v>
      </c>
      <c r="D42" s="134">
        <v>4.4200000000000003E-2</v>
      </c>
      <c r="F42" s="111"/>
      <c r="G42" s="111"/>
      <c r="H42" s="111"/>
      <c r="I42" s="111"/>
      <c r="J42" s="111"/>
    </row>
    <row r="43" spans="1:10" s="112" customFormat="1">
      <c r="A43" s="133">
        <v>2</v>
      </c>
      <c r="B43" s="133">
        <v>2.4999989999999999</v>
      </c>
      <c r="C43" s="133" t="s">
        <v>318</v>
      </c>
      <c r="D43" s="134">
        <v>0.03</v>
      </c>
      <c r="F43" s="111"/>
      <c r="G43" s="111"/>
      <c r="H43" s="111"/>
      <c r="I43" s="111"/>
      <c r="J43" s="111"/>
    </row>
    <row r="44" spans="1:10" s="112" customFormat="1">
      <c r="A44" s="133">
        <v>2.5</v>
      </c>
      <c r="B44" s="133">
        <v>2.9999989999999999</v>
      </c>
      <c r="C44" s="133" t="s">
        <v>319</v>
      </c>
      <c r="D44" s="134">
        <v>2.6100000000000002E-2</v>
      </c>
      <c r="F44" s="111"/>
      <c r="G44" s="111"/>
      <c r="H44" s="111"/>
      <c r="I44" s="111"/>
      <c r="J44" s="111"/>
    </row>
    <row r="45" spans="1:10" s="112" customFormat="1">
      <c r="A45" s="133">
        <v>3</v>
      </c>
      <c r="B45" s="133">
        <v>3.4999989999999999</v>
      </c>
      <c r="C45" s="133" t="s">
        <v>320</v>
      </c>
      <c r="D45" s="134">
        <v>1.83E-2</v>
      </c>
      <c r="F45" s="111"/>
      <c r="G45" s="111"/>
      <c r="H45" s="111"/>
      <c r="I45" s="111"/>
      <c r="J45" s="111"/>
    </row>
    <row r="46" spans="1:10" s="112" customFormat="1">
      <c r="A46" s="133">
        <v>3.5</v>
      </c>
      <c r="B46" s="133">
        <v>3.9999999000000002</v>
      </c>
      <c r="C46" s="133" t="s">
        <v>321</v>
      </c>
      <c r="D46" s="134">
        <v>1.55E-2</v>
      </c>
      <c r="F46" s="111"/>
      <c r="G46" s="111"/>
      <c r="H46" s="111"/>
      <c r="I46" s="111"/>
      <c r="J46" s="111"/>
    </row>
    <row r="47" spans="1:10" s="112" customFormat="1">
      <c r="A47" s="133">
        <v>4</v>
      </c>
      <c r="B47" s="133">
        <v>4.4999989999999999</v>
      </c>
      <c r="C47" s="133" t="s">
        <v>322</v>
      </c>
      <c r="D47" s="134">
        <v>1.2E-2</v>
      </c>
      <c r="F47" s="111"/>
      <c r="G47" s="111"/>
      <c r="H47" s="111"/>
      <c r="I47" s="111"/>
      <c r="J47" s="111"/>
    </row>
    <row r="48" spans="1:10" s="112" customFormat="1">
      <c r="A48" s="133">
        <v>4.5</v>
      </c>
      <c r="B48" s="133">
        <v>5.9999989999999999</v>
      </c>
      <c r="C48" s="133" t="s">
        <v>323</v>
      </c>
      <c r="D48" s="134">
        <v>9.4999999999999998E-3</v>
      </c>
      <c r="F48" s="111"/>
      <c r="G48" s="111"/>
      <c r="H48" s="111"/>
      <c r="I48" s="111"/>
      <c r="J48" s="111"/>
    </row>
    <row r="49" spans="1:10" s="112" customFormat="1">
      <c r="A49" s="133">
        <v>6</v>
      </c>
      <c r="B49" s="133">
        <v>7.4999989999999999</v>
      </c>
      <c r="C49" s="133" t="s">
        <v>324</v>
      </c>
      <c r="D49" s="134">
        <v>8.5000000000000006E-3</v>
      </c>
      <c r="F49" s="111"/>
      <c r="G49" s="111"/>
      <c r="H49" s="111"/>
      <c r="I49" s="111"/>
      <c r="J49" s="111"/>
    </row>
    <row r="50" spans="1:10" s="112" customFormat="1">
      <c r="A50" s="133">
        <v>7.5</v>
      </c>
      <c r="B50" s="133">
        <v>9.4999990000000007</v>
      </c>
      <c r="C50" s="133" t="s">
        <v>325</v>
      </c>
      <c r="D50" s="134">
        <v>7.7000000000000002E-3</v>
      </c>
      <c r="F50" s="111"/>
      <c r="G50" s="111"/>
      <c r="H50" s="111"/>
      <c r="I50" s="111"/>
      <c r="J50" s="111"/>
    </row>
    <row r="51" spans="1:10">
      <c r="A51" s="133">
        <v>9.5</v>
      </c>
      <c r="B51" s="133">
        <v>12.499999000000001</v>
      </c>
      <c r="C51" s="133" t="s">
        <v>326</v>
      </c>
      <c r="D51" s="134">
        <v>6.0000000000000001E-3</v>
      </c>
    </row>
    <row r="52" spans="1:10">
      <c r="A52" s="133">
        <v>12.5</v>
      </c>
      <c r="B52" s="133">
        <v>100000</v>
      </c>
      <c r="C52" s="133" t="s">
        <v>327</v>
      </c>
      <c r="D52" s="134">
        <v>4.4999999999999997E-3</v>
      </c>
      <c r="F52" s="115"/>
      <c r="G52" s="115"/>
      <c r="H52" s="112"/>
      <c r="I52" s="112"/>
    </row>
  </sheetData>
  <mergeCells count="1">
    <mergeCell ref="A36:B36"/>
  </mergeCells>
  <dataValidations count="2">
    <dataValidation type="list" allowBlank="1" showInputMessage="1" showErrorMessage="1" sqref="F5 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F65541 JB65541 SX65541 ACT65541 AMP65541 AWL65541 BGH65541 BQD65541 BZZ65541 CJV65541 CTR65541 DDN65541 DNJ65541 DXF65541 EHB65541 EQX65541 FAT65541 FKP65541 FUL65541 GEH65541 GOD65541 GXZ65541 HHV65541 HRR65541 IBN65541 ILJ65541 IVF65541 JFB65541 JOX65541 JYT65541 KIP65541 KSL65541 LCH65541 LMD65541 LVZ65541 MFV65541 MPR65541 MZN65541 NJJ65541 NTF65541 ODB65541 OMX65541 OWT65541 PGP65541 PQL65541 QAH65541 QKD65541 QTZ65541 RDV65541 RNR65541 RXN65541 SHJ65541 SRF65541 TBB65541 TKX65541 TUT65541 UEP65541 UOL65541 UYH65541 VID65541 VRZ65541 WBV65541 WLR65541 WVN65541 F131077 JB131077 SX131077 ACT131077 AMP131077 AWL131077 BGH131077 BQD131077 BZZ131077 CJV131077 CTR131077 DDN131077 DNJ131077 DXF131077 EHB131077 EQX131077 FAT131077 FKP131077 FUL131077 GEH131077 GOD131077 GXZ131077 HHV131077 HRR131077 IBN131077 ILJ131077 IVF131077 JFB131077 JOX131077 JYT131077 KIP131077 KSL131077 LCH131077 LMD131077 LVZ131077 MFV131077 MPR131077 MZN131077 NJJ131077 NTF131077 ODB131077 OMX131077 OWT131077 PGP131077 PQL131077 QAH131077 QKD131077 QTZ131077 RDV131077 RNR131077 RXN131077 SHJ131077 SRF131077 TBB131077 TKX131077 TUT131077 UEP131077 UOL131077 UYH131077 VID131077 VRZ131077 WBV131077 WLR131077 WVN131077 F196613 JB196613 SX196613 ACT196613 AMP196613 AWL196613 BGH196613 BQD196613 BZZ196613 CJV196613 CTR196613 DDN196613 DNJ196613 DXF196613 EHB196613 EQX196613 FAT196613 FKP196613 FUL196613 GEH196613 GOD196613 GXZ196613 HHV196613 HRR196613 IBN196613 ILJ196613 IVF196613 JFB196613 JOX196613 JYT196613 KIP196613 KSL196613 LCH196613 LMD196613 LVZ196613 MFV196613 MPR196613 MZN196613 NJJ196613 NTF196613 ODB196613 OMX196613 OWT196613 PGP196613 PQL196613 QAH196613 QKD196613 QTZ196613 RDV196613 RNR196613 RXN196613 SHJ196613 SRF196613 TBB196613 TKX196613 TUT196613 UEP196613 UOL196613 UYH196613 VID196613 VRZ196613 WBV196613 WLR196613 WVN196613 F262149 JB262149 SX262149 ACT262149 AMP262149 AWL262149 BGH262149 BQD262149 BZZ262149 CJV262149 CTR262149 DDN262149 DNJ262149 DXF262149 EHB262149 EQX262149 FAT262149 FKP262149 FUL262149 GEH262149 GOD262149 GXZ262149 HHV262149 HRR262149 IBN262149 ILJ262149 IVF262149 JFB262149 JOX262149 JYT262149 KIP262149 KSL262149 LCH262149 LMD262149 LVZ262149 MFV262149 MPR262149 MZN262149 NJJ262149 NTF262149 ODB262149 OMX262149 OWT262149 PGP262149 PQL262149 QAH262149 QKD262149 QTZ262149 RDV262149 RNR262149 RXN262149 SHJ262149 SRF262149 TBB262149 TKX262149 TUT262149 UEP262149 UOL262149 UYH262149 VID262149 VRZ262149 WBV262149 WLR262149 WVN262149 F327685 JB327685 SX327685 ACT327685 AMP327685 AWL327685 BGH327685 BQD327685 BZZ327685 CJV327685 CTR327685 DDN327685 DNJ327685 DXF327685 EHB327685 EQX327685 FAT327685 FKP327685 FUL327685 GEH327685 GOD327685 GXZ327685 HHV327685 HRR327685 IBN327685 ILJ327685 IVF327685 JFB327685 JOX327685 JYT327685 KIP327685 KSL327685 LCH327685 LMD327685 LVZ327685 MFV327685 MPR327685 MZN327685 NJJ327685 NTF327685 ODB327685 OMX327685 OWT327685 PGP327685 PQL327685 QAH327685 QKD327685 QTZ327685 RDV327685 RNR327685 RXN327685 SHJ327685 SRF327685 TBB327685 TKX327685 TUT327685 UEP327685 UOL327685 UYH327685 VID327685 VRZ327685 WBV327685 WLR327685 WVN327685 F393221 JB393221 SX393221 ACT393221 AMP393221 AWL393221 BGH393221 BQD393221 BZZ393221 CJV393221 CTR393221 DDN393221 DNJ393221 DXF393221 EHB393221 EQX393221 FAT393221 FKP393221 FUL393221 GEH393221 GOD393221 GXZ393221 HHV393221 HRR393221 IBN393221 ILJ393221 IVF393221 JFB393221 JOX393221 JYT393221 KIP393221 KSL393221 LCH393221 LMD393221 LVZ393221 MFV393221 MPR393221 MZN393221 NJJ393221 NTF393221 ODB393221 OMX393221 OWT393221 PGP393221 PQL393221 QAH393221 QKD393221 QTZ393221 RDV393221 RNR393221 RXN393221 SHJ393221 SRF393221 TBB393221 TKX393221 TUT393221 UEP393221 UOL393221 UYH393221 VID393221 VRZ393221 WBV393221 WLR393221 WVN393221 F458757 JB458757 SX458757 ACT458757 AMP458757 AWL458757 BGH458757 BQD458757 BZZ458757 CJV458757 CTR458757 DDN458757 DNJ458757 DXF458757 EHB458757 EQX458757 FAT458757 FKP458757 FUL458757 GEH458757 GOD458757 GXZ458757 HHV458757 HRR458757 IBN458757 ILJ458757 IVF458757 JFB458757 JOX458757 JYT458757 KIP458757 KSL458757 LCH458757 LMD458757 LVZ458757 MFV458757 MPR458757 MZN458757 NJJ458757 NTF458757 ODB458757 OMX458757 OWT458757 PGP458757 PQL458757 QAH458757 QKD458757 QTZ458757 RDV458757 RNR458757 RXN458757 SHJ458757 SRF458757 TBB458757 TKX458757 TUT458757 UEP458757 UOL458757 UYH458757 VID458757 VRZ458757 WBV458757 WLR458757 WVN458757 F524293 JB524293 SX524293 ACT524293 AMP524293 AWL524293 BGH524293 BQD524293 BZZ524293 CJV524293 CTR524293 DDN524293 DNJ524293 DXF524293 EHB524293 EQX524293 FAT524293 FKP524293 FUL524293 GEH524293 GOD524293 GXZ524293 HHV524293 HRR524293 IBN524293 ILJ524293 IVF524293 JFB524293 JOX524293 JYT524293 KIP524293 KSL524293 LCH524293 LMD524293 LVZ524293 MFV524293 MPR524293 MZN524293 NJJ524293 NTF524293 ODB524293 OMX524293 OWT524293 PGP524293 PQL524293 QAH524293 QKD524293 QTZ524293 RDV524293 RNR524293 RXN524293 SHJ524293 SRF524293 TBB524293 TKX524293 TUT524293 UEP524293 UOL524293 UYH524293 VID524293 VRZ524293 WBV524293 WLR524293 WVN524293 F589829 JB589829 SX589829 ACT589829 AMP589829 AWL589829 BGH589829 BQD589829 BZZ589829 CJV589829 CTR589829 DDN589829 DNJ589829 DXF589829 EHB589829 EQX589829 FAT589829 FKP589829 FUL589829 GEH589829 GOD589829 GXZ589829 HHV589829 HRR589829 IBN589829 ILJ589829 IVF589829 JFB589829 JOX589829 JYT589829 KIP589829 KSL589829 LCH589829 LMD589829 LVZ589829 MFV589829 MPR589829 MZN589829 NJJ589829 NTF589829 ODB589829 OMX589829 OWT589829 PGP589829 PQL589829 QAH589829 QKD589829 QTZ589829 RDV589829 RNR589829 RXN589829 SHJ589829 SRF589829 TBB589829 TKX589829 TUT589829 UEP589829 UOL589829 UYH589829 VID589829 VRZ589829 WBV589829 WLR589829 WVN589829 F655365 JB655365 SX655365 ACT655365 AMP655365 AWL655365 BGH655365 BQD655365 BZZ655365 CJV655365 CTR655365 DDN655365 DNJ655365 DXF655365 EHB655365 EQX655365 FAT655365 FKP655365 FUL655365 GEH655365 GOD655365 GXZ655365 HHV655365 HRR655365 IBN655365 ILJ655365 IVF655365 JFB655365 JOX655365 JYT655365 KIP655365 KSL655365 LCH655365 LMD655365 LVZ655365 MFV655365 MPR655365 MZN655365 NJJ655365 NTF655365 ODB655365 OMX655365 OWT655365 PGP655365 PQL655365 QAH655365 QKD655365 QTZ655365 RDV655365 RNR655365 RXN655365 SHJ655365 SRF655365 TBB655365 TKX655365 TUT655365 UEP655365 UOL655365 UYH655365 VID655365 VRZ655365 WBV655365 WLR655365 WVN655365 F720901 JB720901 SX720901 ACT720901 AMP720901 AWL720901 BGH720901 BQD720901 BZZ720901 CJV720901 CTR720901 DDN720901 DNJ720901 DXF720901 EHB720901 EQX720901 FAT720901 FKP720901 FUL720901 GEH720901 GOD720901 GXZ720901 HHV720901 HRR720901 IBN720901 ILJ720901 IVF720901 JFB720901 JOX720901 JYT720901 KIP720901 KSL720901 LCH720901 LMD720901 LVZ720901 MFV720901 MPR720901 MZN720901 NJJ720901 NTF720901 ODB720901 OMX720901 OWT720901 PGP720901 PQL720901 QAH720901 QKD720901 QTZ720901 RDV720901 RNR720901 RXN720901 SHJ720901 SRF720901 TBB720901 TKX720901 TUT720901 UEP720901 UOL720901 UYH720901 VID720901 VRZ720901 WBV720901 WLR720901 WVN720901 F786437 JB786437 SX786437 ACT786437 AMP786437 AWL786437 BGH786437 BQD786437 BZZ786437 CJV786437 CTR786437 DDN786437 DNJ786437 DXF786437 EHB786437 EQX786437 FAT786437 FKP786437 FUL786437 GEH786437 GOD786437 GXZ786437 HHV786437 HRR786437 IBN786437 ILJ786437 IVF786437 JFB786437 JOX786437 JYT786437 KIP786437 KSL786437 LCH786437 LMD786437 LVZ786437 MFV786437 MPR786437 MZN786437 NJJ786437 NTF786437 ODB786437 OMX786437 OWT786437 PGP786437 PQL786437 QAH786437 QKD786437 QTZ786437 RDV786437 RNR786437 RXN786437 SHJ786437 SRF786437 TBB786437 TKX786437 TUT786437 UEP786437 UOL786437 UYH786437 VID786437 VRZ786437 WBV786437 WLR786437 WVN786437 F851973 JB851973 SX851973 ACT851973 AMP851973 AWL851973 BGH851973 BQD851973 BZZ851973 CJV851973 CTR851973 DDN851973 DNJ851973 DXF851973 EHB851973 EQX851973 FAT851973 FKP851973 FUL851973 GEH851973 GOD851973 GXZ851973 HHV851973 HRR851973 IBN851973 ILJ851973 IVF851973 JFB851973 JOX851973 JYT851973 KIP851973 KSL851973 LCH851973 LMD851973 LVZ851973 MFV851973 MPR851973 MZN851973 NJJ851973 NTF851973 ODB851973 OMX851973 OWT851973 PGP851973 PQL851973 QAH851973 QKD851973 QTZ851973 RDV851973 RNR851973 RXN851973 SHJ851973 SRF851973 TBB851973 TKX851973 TUT851973 UEP851973 UOL851973 UYH851973 VID851973 VRZ851973 WBV851973 WLR851973 WVN851973 F917509 JB917509 SX917509 ACT917509 AMP917509 AWL917509 BGH917509 BQD917509 BZZ917509 CJV917509 CTR917509 DDN917509 DNJ917509 DXF917509 EHB917509 EQX917509 FAT917509 FKP917509 FUL917509 GEH917509 GOD917509 GXZ917509 HHV917509 HRR917509 IBN917509 ILJ917509 IVF917509 JFB917509 JOX917509 JYT917509 KIP917509 KSL917509 LCH917509 LMD917509 LVZ917509 MFV917509 MPR917509 MZN917509 NJJ917509 NTF917509 ODB917509 OMX917509 OWT917509 PGP917509 PQL917509 QAH917509 QKD917509 QTZ917509 RDV917509 RNR917509 RXN917509 SHJ917509 SRF917509 TBB917509 TKX917509 TUT917509 UEP917509 UOL917509 UYH917509 VID917509 VRZ917509 WBV917509 WLR917509 WVN917509 F983045 JB983045 SX983045 ACT983045 AMP983045 AWL983045 BGH983045 BQD983045 BZZ983045 CJV983045 CTR983045 DDN983045 DNJ983045 DXF983045 EHB983045 EQX983045 FAT983045 FKP983045 FUL983045 GEH983045 GOD983045 GXZ983045 HHV983045 HRR983045 IBN983045 ILJ983045 IVF983045 JFB983045 JOX983045 JYT983045 KIP983045 KSL983045 LCH983045 LMD983045 LVZ983045 MFV983045 MPR983045 MZN983045 NJJ983045 NTF983045 ODB983045 OMX983045 OWT983045 PGP983045 PQL983045 QAH983045 QKD983045 QTZ983045 RDV983045 RNR983045 RXN983045 SHJ983045 SRF983045 TBB983045 TKX983045 TUT983045 UEP983045 UOL983045 UYH983045 VID983045 VRZ983045 WBV983045 WLR983045 WVN983045" xr:uid="{A4D026B4-9544-4558-A532-D89BEA9FEA19}">
      <formula1>$O$1:$O$2</formula1>
    </dataValidation>
    <dataValidation type="list" allowBlank="1" showInputMessage="1" showErrorMessage="1" sqref="C4 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C65540 IY65540 SU65540 ACQ65540 AMM65540 AWI65540 BGE65540 BQA65540 BZW65540 CJS65540 CTO65540 DDK65540 DNG65540 DXC65540 EGY65540 EQU65540 FAQ65540 FKM65540 FUI65540 GEE65540 GOA65540 GXW65540 HHS65540 HRO65540 IBK65540 ILG65540 IVC65540 JEY65540 JOU65540 JYQ65540 KIM65540 KSI65540 LCE65540 LMA65540 LVW65540 MFS65540 MPO65540 MZK65540 NJG65540 NTC65540 OCY65540 OMU65540 OWQ65540 PGM65540 PQI65540 QAE65540 QKA65540 QTW65540 RDS65540 RNO65540 RXK65540 SHG65540 SRC65540 TAY65540 TKU65540 TUQ65540 UEM65540 UOI65540 UYE65540 VIA65540 VRW65540 WBS65540 WLO65540 WVK65540 C131076 IY131076 SU131076 ACQ131076 AMM131076 AWI131076 BGE131076 BQA131076 BZW131076 CJS131076 CTO131076 DDK131076 DNG131076 DXC131076 EGY131076 EQU131076 FAQ131076 FKM131076 FUI131076 GEE131076 GOA131076 GXW131076 HHS131076 HRO131076 IBK131076 ILG131076 IVC131076 JEY131076 JOU131076 JYQ131076 KIM131076 KSI131076 LCE131076 LMA131076 LVW131076 MFS131076 MPO131076 MZK131076 NJG131076 NTC131076 OCY131076 OMU131076 OWQ131076 PGM131076 PQI131076 QAE131076 QKA131076 QTW131076 RDS131076 RNO131076 RXK131076 SHG131076 SRC131076 TAY131076 TKU131076 TUQ131076 UEM131076 UOI131076 UYE131076 VIA131076 VRW131076 WBS131076 WLO131076 WVK131076 C196612 IY196612 SU196612 ACQ196612 AMM196612 AWI196612 BGE196612 BQA196612 BZW196612 CJS196612 CTO196612 DDK196612 DNG196612 DXC196612 EGY196612 EQU196612 FAQ196612 FKM196612 FUI196612 GEE196612 GOA196612 GXW196612 HHS196612 HRO196612 IBK196612 ILG196612 IVC196612 JEY196612 JOU196612 JYQ196612 KIM196612 KSI196612 LCE196612 LMA196612 LVW196612 MFS196612 MPO196612 MZK196612 NJG196612 NTC196612 OCY196612 OMU196612 OWQ196612 PGM196612 PQI196612 QAE196612 QKA196612 QTW196612 RDS196612 RNO196612 RXK196612 SHG196612 SRC196612 TAY196612 TKU196612 TUQ196612 UEM196612 UOI196612 UYE196612 VIA196612 VRW196612 WBS196612 WLO196612 WVK196612 C262148 IY262148 SU262148 ACQ262148 AMM262148 AWI262148 BGE262148 BQA262148 BZW262148 CJS262148 CTO262148 DDK262148 DNG262148 DXC262148 EGY262148 EQU262148 FAQ262148 FKM262148 FUI262148 GEE262148 GOA262148 GXW262148 HHS262148 HRO262148 IBK262148 ILG262148 IVC262148 JEY262148 JOU262148 JYQ262148 KIM262148 KSI262148 LCE262148 LMA262148 LVW262148 MFS262148 MPO262148 MZK262148 NJG262148 NTC262148 OCY262148 OMU262148 OWQ262148 PGM262148 PQI262148 QAE262148 QKA262148 QTW262148 RDS262148 RNO262148 RXK262148 SHG262148 SRC262148 TAY262148 TKU262148 TUQ262148 UEM262148 UOI262148 UYE262148 VIA262148 VRW262148 WBS262148 WLO262148 WVK262148 C327684 IY327684 SU327684 ACQ327684 AMM327684 AWI327684 BGE327684 BQA327684 BZW327684 CJS327684 CTO327684 DDK327684 DNG327684 DXC327684 EGY327684 EQU327684 FAQ327684 FKM327684 FUI327684 GEE327684 GOA327684 GXW327684 HHS327684 HRO327684 IBK327684 ILG327684 IVC327684 JEY327684 JOU327684 JYQ327684 KIM327684 KSI327684 LCE327684 LMA327684 LVW327684 MFS327684 MPO327684 MZK327684 NJG327684 NTC327684 OCY327684 OMU327684 OWQ327684 PGM327684 PQI327684 QAE327684 QKA327684 QTW327684 RDS327684 RNO327684 RXK327684 SHG327684 SRC327684 TAY327684 TKU327684 TUQ327684 UEM327684 UOI327684 UYE327684 VIA327684 VRW327684 WBS327684 WLO327684 WVK327684 C393220 IY393220 SU393220 ACQ393220 AMM393220 AWI393220 BGE393220 BQA393220 BZW393220 CJS393220 CTO393220 DDK393220 DNG393220 DXC393220 EGY393220 EQU393220 FAQ393220 FKM393220 FUI393220 GEE393220 GOA393220 GXW393220 HHS393220 HRO393220 IBK393220 ILG393220 IVC393220 JEY393220 JOU393220 JYQ393220 KIM393220 KSI393220 LCE393220 LMA393220 LVW393220 MFS393220 MPO393220 MZK393220 NJG393220 NTC393220 OCY393220 OMU393220 OWQ393220 PGM393220 PQI393220 QAE393220 QKA393220 QTW393220 RDS393220 RNO393220 RXK393220 SHG393220 SRC393220 TAY393220 TKU393220 TUQ393220 UEM393220 UOI393220 UYE393220 VIA393220 VRW393220 WBS393220 WLO393220 WVK393220 C458756 IY458756 SU458756 ACQ458756 AMM458756 AWI458756 BGE458756 BQA458756 BZW458756 CJS458756 CTO458756 DDK458756 DNG458756 DXC458756 EGY458756 EQU458756 FAQ458756 FKM458756 FUI458756 GEE458756 GOA458756 GXW458756 HHS458756 HRO458756 IBK458756 ILG458756 IVC458756 JEY458756 JOU458756 JYQ458756 KIM458756 KSI458756 LCE458756 LMA458756 LVW458756 MFS458756 MPO458756 MZK458756 NJG458756 NTC458756 OCY458756 OMU458756 OWQ458756 PGM458756 PQI458756 QAE458756 QKA458756 QTW458756 RDS458756 RNO458756 RXK458756 SHG458756 SRC458756 TAY458756 TKU458756 TUQ458756 UEM458756 UOI458756 UYE458756 VIA458756 VRW458756 WBS458756 WLO458756 WVK458756 C524292 IY524292 SU524292 ACQ524292 AMM524292 AWI524292 BGE524292 BQA524292 BZW524292 CJS524292 CTO524292 DDK524292 DNG524292 DXC524292 EGY524292 EQU524292 FAQ524292 FKM524292 FUI524292 GEE524292 GOA524292 GXW524292 HHS524292 HRO524292 IBK524292 ILG524292 IVC524292 JEY524292 JOU524292 JYQ524292 KIM524292 KSI524292 LCE524292 LMA524292 LVW524292 MFS524292 MPO524292 MZK524292 NJG524292 NTC524292 OCY524292 OMU524292 OWQ524292 PGM524292 PQI524292 QAE524292 QKA524292 QTW524292 RDS524292 RNO524292 RXK524292 SHG524292 SRC524292 TAY524292 TKU524292 TUQ524292 UEM524292 UOI524292 UYE524292 VIA524292 VRW524292 WBS524292 WLO524292 WVK524292 C589828 IY589828 SU589828 ACQ589828 AMM589828 AWI589828 BGE589828 BQA589828 BZW589828 CJS589828 CTO589828 DDK589828 DNG589828 DXC589828 EGY589828 EQU589828 FAQ589828 FKM589828 FUI589828 GEE589828 GOA589828 GXW589828 HHS589828 HRO589828 IBK589828 ILG589828 IVC589828 JEY589828 JOU589828 JYQ589828 KIM589828 KSI589828 LCE589828 LMA589828 LVW589828 MFS589828 MPO589828 MZK589828 NJG589828 NTC589828 OCY589828 OMU589828 OWQ589828 PGM589828 PQI589828 QAE589828 QKA589828 QTW589828 RDS589828 RNO589828 RXK589828 SHG589828 SRC589828 TAY589828 TKU589828 TUQ589828 UEM589828 UOI589828 UYE589828 VIA589828 VRW589828 WBS589828 WLO589828 WVK589828 C655364 IY655364 SU655364 ACQ655364 AMM655364 AWI655364 BGE655364 BQA655364 BZW655364 CJS655364 CTO655364 DDK655364 DNG655364 DXC655364 EGY655364 EQU655364 FAQ655364 FKM655364 FUI655364 GEE655364 GOA655364 GXW655364 HHS655364 HRO655364 IBK655364 ILG655364 IVC655364 JEY655364 JOU655364 JYQ655364 KIM655364 KSI655364 LCE655364 LMA655364 LVW655364 MFS655364 MPO655364 MZK655364 NJG655364 NTC655364 OCY655364 OMU655364 OWQ655364 PGM655364 PQI655364 QAE655364 QKA655364 QTW655364 RDS655364 RNO655364 RXK655364 SHG655364 SRC655364 TAY655364 TKU655364 TUQ655364 UEM655364 UOI655364 UYE655364 VIA655364 VRW655364 WBS655364 WLO655364 WVK655364 C720900 IY720900 SU720900 ACQ720900 AMM720900 AWI720900 BGE720900 BQA720900 BZW720900 CJS720900 CTO720900 DDK720900 DNG720900 DXC720900 EGY720900 EQU720900 FAQ720900 FKM720900 FUI720900 GEE720900 GOA720900 GXW720900 HHS720900 HRO720900 IBK720900 ILG720900 IVC720900 JEY720900 JOU720900 JYQ720900 KIM720900 KSI720900 LCE720900 LMA720900 LVW720900 MFS720900 MPO720900 MZK720900 NJG720900 NTC720900 OCY720900 OMU720900 OWQ720900 PGM720900 PQI720900 QAE720900 QKA720900 QTW720900 RDS720900 RNO720900 RXK720900 SHG720900 SRC720900 TAY720900 TKU720900 TUQ720900 UEM720900 UOI720900 UYE720900 VIA720900 VRW720900 WBS720900 WLO720900 WVK720900 C786436 IY786436 SU786436 ACQ786436 AMM786436 AWI786436 BGE786436 BQA786436 BZW786436 CJS786436 CTO786436 DDK786436 DNG786436 DXC786436 EGY786436 EQU786436 FAQ786436 FKM786436 FUI786436 GEE786436 GOA786436 GXW786436 HHS786436 HRO786436 IBK786436 ILG786436 IVC786436 JEY786436 JOU786436 JYQ786436 KIM786436 KSI786436 LCE786436 LMA786436 LVW786436 MFS786436 MPO786436 MZK786436 NJG786436 NTC786436 OCY786436 OMU786436 OWQ786436 PGM786436 PQI786436 QAE786436 QKA786436 QTW786436 RDS786436 RNO786436 RXK786436 SHG786436 SRC786436 TAY786436 TKU786436 TUQ786436 UEM786436 UOI786436 UYE786436 VIA786436 VRW786436 WBS786436 WLO786436 WVK786436 C851972 IY851972 SU851972 ACQ851972 AMM851972 AWI851972 BGE851972 BQA851972 BZW851972 CJS851972 CTO851972 DDK851972 DNG851972 DXC851972 EGY851972 EQU851972 FAQ851972 FKM851972 FUI851972 GEE851972 GOA851972 GXW851972 HHS851972 HRO851972 IBK851972 ILG851972 IVC851972 JEY851972 JOU851972 JYQ851972 KIM851972 KSI851972 LCE851972 LMA851972 LVW851972 MFS851972 MPO851972 MZK851972 NJG851972 NTC851972 OCY851972 OMU851972 OWQ851972 PGM851972 PQI851972 QAE851972 QKA851972 QTW851972 RDS851972 RNO851972 RXK851972 SHG851972 SRC851972 TAY851972 TKU851972 TUQ851972 UEM851972 UOI851972 UYE851972 VIA851972 VRW851972 WBS851972 WLO851972 WVK851972 C917508 IY917508 SU917508 ACQ917508 AMM917508 AWI917508 BGE917508 BQA917508 BZW917508 CJS917508 CTO917508 DDK917508 DNG917508 DXC917508 EGY917508 EQU917508 FAQ917508 FKM917508 FUI917508 GEE917508 GOA917508 GXW917508 HHS917508 HRO917508 IBK917508 ILG917508 IVC917508 JEY917508 JOU917508 JYQ917508 KIM917508 KSI917508 LCE917508 LMA917508 LVW917508 MFS917508 MPO917508 MZK917508 NJG917508 NTC917508 OCY917508 OMU917508 OWQ917508 PGM917508 PQI917508 QAE917508 QKA917508 QTW917508 RDS917508 RNO917508 RXK917508 SHG917508 SRC917508 TAY917508 TKU917508 TUQ917508 UEM917508 UOI917508 UYE917508 VIA917508 VRW917508 WBS917508 WLO917508 WVK917508 C983044 IY983044 SU983044 ACQ983044 AMM983044 AWI983044 BGE983044 BQA983044 BZW983044 CJS983044 CTO983044 DDK983044 DNG983044 DXC983044 EGY983044 EQU983044 FAQ983044 FKM983044 FUI983044 GEE983044 GOA983044 GXW983044 HHS983044 HRO983044 IBK983044 ILG983044 IVC983044 JEY983044 JOU983044 JYQ983044 KIM983044 KSI983044 LCE983044 LMA983044 LVW983044 MFS983044 MPO983044 MZK983044 NJG983044 NTC983044 OCY983044 OMU983044 OWQ983044 PGM983044 PQI983044 QAE983044 QKA983044 QTW983044 RDS983044 RNO983044 RXK983044 SHG983044 SRC983044 TAY983044 TKU983044 TUQ983044 UEM983044 UOI983044 UYE983044 VIA983044 VRW983044 WBS983044 WLO983044 WVK983044" xr:uid="{74A8FEAD-D599-45B2-A4F7-82FF366A252F}">
      <formula1>$P$1:$P$3</formula1>
    </dataValidation>
  </dataValidations>
  <printOptions gridLines="1" gridLinesSet="0"/>
  <pageMargins left="0.75" right="0.75" top="1" bottom="1" header="0.5" footer="0.5"/>
  <pageSetup orientation="portrait" horizontalDpi="4294967292" verticalDpi="4294967292"/>
  <headerFooter alignWithMargins="0">
    <oddHeader>&amp;A</oddHeader>
    <oddFooter>Page &amp;P</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413A-5B29-42DC-9678-A3D2E3023AC1}">
  <sheetPr>
    <pageSetUpPr fitToPage="1"/>
  </sheetPr>
  <dimension ref="A1:J104"/>
  <sheetViews>
    <sheetView zoomScaleNormal="100" workbookViewId="0">
      <pane xSplit="2" ySplit="5" topLeftCell="C88" activePane="bottomRight" state="frozen"/>
      <selection pane="topRight" activeCell="C1" sqref="C1"/>
      <selection pane="bottomLeft" activeCell="A6" sqref="A6"/>
      <selection pane="bottomRight" activeCell="B99" sqref="B99"/>
    </sheetView>
  </sheetViews>
  <sheetFormatPr baseColWidth="10" defaultColWidth="8.625" defaultRowHeight="14" outlineLevelRow="1"/>
  <cols>
    <col min="1" max="1" width="3.625" customWidth="1"/>
    <col min="2" max="2" width="31.875" bestFit="1" customWidth="1"/>
    <col min="3" max="3" width="11.875" bestFit="1" customWidth="1"/>
    <col min="4" max="4" width="12.375" bestFit="1" customWidth="1"/>
    <col min="5" max="10" width="10.625" customWidth="1"/>
  </cols>
  <sheetData>
    <row r="1" spans="1:10" ht="30">
      <c r="A1" s="4" t="s">
        <v>237</v>
      </c>
      <c r="B1" s="5"/>
      <c r="C1" s="5"/>
      <c r="D1" s="5"/>
      <c r="E1" s="5"/>
      <c r="F1" s="5"/>
      <c r="G1" s="5"/>
      <c r="H1" s="5"/>
      <c r="I1" s="5"/>
      <c r="J1" s="5"/>
    </row>
    <row r="2" spans="1:10">
      <c r="B2" s="6" t="s">
        <v>5</v>
      </c>
    </row>
    <row r="3" spans="1:10" ht="15" thickBot="1">
      <c r="B3" s="6"/>
    </row>
    <row r="4" spans="1:10" ht="15" thickBot="1">
      <c r="C4" s="54" t="s">
        <v>172</v>
      </c>
      <c r="D4" s="55"/>
      <c r="E4" s="56"/>
      <c r="F4" s="54" t="s">
        <v>173</v>
      </c>
      <c r="G4" s="55"/>
      <c r="H4" s="55"/>
      <c r="I4" s="55"/>
      <c r="J4" s="56"/>
    </row>
    <row r="5" spans="1:10">
      <c r="C5" s="58">
        <v>44804</v>
      </c>
      <c r="D5" s="58">
        <v>45169</v>
      </c>
      <c r="E5" s="58">
        <v>45535</v>
      </c>
      <c r="F5" s="58">
        <v>45900</v>
      </c>
      <c r="G5" s="58">
        <v>46265</v>
      </c>
      <c r="H5" s="58">
        <v>46630</v>
      </c>
      <c r="I5" s="58">
        <v>46996</v>
      </c>
      <c r="J5" s="58">
        <v>47361</v>
      </c>
    </row>
    <row r="6" spans="1:10">
      <c r="A6" s="1" t="s">
        <v>210</v>
      </c>
      <c r="B6" s="1"/>
      <c r="C6" s="59"/>
      <c r="D6" s="59"/>
      <c r="E6" s="60"/>
      <c r="F6" s="59"/>
      <c r="G6" s="59"/>
      <c r="H6" s="59"/>
      <c r="I6" s="59"/>
      <c r="J6" s="59"/>
    </row>
    <row r="7" spans="1:10" ht="18" customHeight="1">
      <c r="B7" s="30" t="s">
        <v>131</v>
      </c>
      <c r="C7" s="30"/>
      <c r="F7" s="39">
        <f ca="1">'Income Statement'!N20</f>
        <v>84057.449778232825</v>
      </c>
      <c r="G7" s="39">
        <f ca="1">'Income Statement'!O20</f>
        <v>91032.969074168883</v>
      </c>
      <c r="H7" s="39">
        <f ca="1">'Income Statement'!P20</f>
        <v>98548.794966753441</v>
      </c>
      <c r="I7" s="39">
        <f ca="1">'Income Statement'!Q20</f>
        <v>106377.82844895333</v>
      </c>
      <c r="J7" s="39">
        <f ca="1">'Income Statement'!R20</f>
        <v>115573.95649050004</v>
      </c>
    </row>
    <row r="8" spans="1:10" ht="18" customHeight="1">
      <c r="B8" s="30" t="s">
        <v>137</v>
      </c>
      <c r="C8" s="30"/>
      <c r="D8" s="30"/>
      <c r="F8" s="40">
        <f>'Income Statement'!N12</f>
        <v>8846.5438599999998</v>
      </c>
      <c r="G8" s="40">
        <f>'Income Statement'!O12</f>
        <v>9465.8019301999993</v>
      </c>
      <c r="H8" s="40">
        <f>'Income Statement'!P12</f>
        <v>10128.408065314001</v>
      </c>
      <c r="I8" s="40">
        <f>'Income Statement'!Q12</f>
        <v>10837.396629885981</v>
      </c>
      <c r="J8" s="40">
        <f>'Income Statement'!R12</f>
        <v>11596.014393977999</v>
      </c>
    </row>
    <row r="9" spans="1:10" ht="18" customHeight="1">
      <c r="B9" s="30" t="s">
        <v>161</v>
      </c>
      <c r="C9" s="30"/>
      <c r="D9" s="30"/>
      <c r="F9" s="40">
        <f>'Income Statement'!N13</f>
        <v>1263.79198</v>
      </c>
      <c r="G9" s="40">
        <f>'Income Statement'!O13</f>
        <v>1352.2574185999999</v>
      </c>
      <c r="H9" s="40">
        <f>'Income Statement'!P13</f>
        <v>1446.9154379020001</v>
      </c>
      <c r="I9" s="40">
        <f>'Income Statement'!Q13</f>
        <v>1548.1995185551402</v>
      </c>
      <c r="J9" s="40">
        <f>'Income Statement'!R13</f>
        <v>610.83564494285952</v>
      </c>
    </row>
    <row r="10" spans="1:10" ht="18" customHeight="1">
      <c r="B10" s="76" t="s">
        <v>211</v>
      </c>
      <c r="C10" s="30"/>
      <c r="D10" s="30"/>
      <c r="F10" s="40">
        <f>Calcs!N56</f>
        <v>-2740.6807941000006</v>
      </c>
      <c r="G10" s="40">
        <f>Calcs!O56</f>
        <v>-8164.9176555870217</v>
      </c>
      <c r="H10" s="40">
        <f>Calcs!P56</f>
        <v>-8736.4618914780585</v>
      </c>
      <c r="I10" s="40">
        <f>Calcs!Q56</f>
        <v>-9348.0142238816188</v>
      </c>
      <c r="J10" s="40">
        <f>Calcs!R56</f>
        <v>-10002.375219553229</v>
      </c>
    </row>
    <row r="11" spans="1:10">
      <c r="B11" s="8" t="s">
        <v>212</v>
      </c>
      <c r="F11" s="13">
        <f ca="1">SUM(F7:F10)</f>
        <v>91427.104824132824</v>
      </c>
      <c r="G11" s="13">
        <f t="shared" ref="G11:J11" ca="1" si="0">SUM(G7:G10)</f>
        <v>93686.110767381862</v>
      </c>
      <c r="H11" s="13">
        <f t="shared" ca="1" si="0"/>
        <v>101387.65657849138</v>
      </c>
      <c r="I11" s="13">
        <f t="shared" ca="1" si="0"/>
        <v>109415.41037351283</v>
      </c>
      <c r="J11" s="13">
        <f t="shared" ca="1" si="0"/>
        <v>117778.43130986766</v>
      </c>
    </row>
    <row r="13" spans="1:10">
      <c r="A13" s="1" t="s">
        <v>219</v>
      </c>
    </row>
    <row r="14" spans="1:10" ht="18" customHeight="1">
      <c r="B14" s="30" t="s">
        <v>220</v>
      </c>
      <c r="C14" s="30"/>
      <c r="F14" s="39">
        <f>-Calcs!N20</f>
        <v>-12637.9198</v>
      </c>
      <c r="G14" s="39">
        <f>-Calcs!O20</f>
        <v>-13522.574186</v>
      </c>
      <c r="H14" s="39">
        <f>-Calcs!P20</f>
        <v>-14469.154379020001</v>
      </c>
      <c r="I14" s="39">
        <f>-Calcs!Q20</f>
        <v>-15481.995185551401</v>
      </c>
      <c r="J14" s="39">
        <f>-Calcs!R20</f>
        <v>-16565.73484854</v>
      </c>
    </row>
    <row r="15" spans="1:10" ht="18" customHeight="1">
      <c r="B15" s="76" t="s">
        <v>221</v>
      </c>
      <c r="C15" s="30"/>
      <c r="F15" s="73">
        <f>-('Balance Sheet PROJECTED'!N18-'Balance Sheet PROJECTED'!M18)</f>
        <v>-993.39975000000049</v>
      </c>
      <c r="G15" s="73">
        <f>-('Balance Sheet PROJECTED'!O18-'Balance Sheet PROJECTED'!N18)</f>
        <v>-1105.8179825000007</v>
      </c>
      <c r="H15" s="73">
        <f>-('Balance Sheet PROJECTED'!P18-'Balance Sheet PROJECTED'!O18)</f>
        <v>-1183.2252412749986</v>
      </c>
      <c r="I15" s="73">
        <f>-('Balance Sheet PROJECTED'!Q18-'Balance Sheet PROJECTED'!P18)</f>
        <v>-1266.0510081642533</v>
      </c>
      <c r="J15" s="73">
        <f>-('Balance Sheet PROJECTED'!R18-'Balance Sheet PROJECTED'!Q18)</f>
        <v>-1354.6745787357468</v>
      </c>
    </row>
    <row r="16" spans="1:10" ht="18" customHeight="1">
      <c r="B16" s="76" t="s">
        <v>222</v>
      </c>
      <c r="C16" s="30"/>
      <c r="F16" s="73">
        <f>'Balance Sheet PROJECTED'!N36-'Balance Sheet PROJECTED'!M36</f>
        <v>1099.5037599999996</v>
      </c>
      <c r="G16" s="73">
        <f>'Balance Sheet PROJECTED'!O36-'Balance Sheet PROJECTED'!N36</f>
        <v>1061.5852632000006</v>
      </c>
      <c r="H16" s="73">
        <f>'Balance Sheet PROJECTED'!P36-'Balance Sheet PROJECTED'!O36</f>
        <v>1135.8962316240013</v>
      </c>
      <c r="I16" s="73">
        <f>'Balance Sheet PROJECTED'!Q36-'Balance Sheet PROJECTED'!P36</f>
        <v>1215.4089678376804</v>
      </c>
      <c r="J16" s="73">
        <f>'Balance Sheet PROJECTED'!R36-'Balance Sheet PROJECTED'!Q36</f>
        <v>1300.4875955863172</v>
      </c>
    </row>
    <row r="17" spans="1:10">
      <c r="B17" s="8" t="s">
        <v>223</v>
      </c>
      <c r="F17" s="13">
        <f>SUM(F14:F16)</f>
        <v>-12531.815790000001</v>
      </c>
      <c r="G17" s="13">
        <f t="shared" ref="G17:J17" si="1">SUM(G14:G16)</f>
        <v>-13566.8069053</v>
      </c>
      <c r="H17" s="13">
        <f t="shared" si="1"/>
        <v>-14516.483388670998</v>
      </c>
      <c r="I17" s="13">
        <f t="shared" si="1"/>
        <v>-15532.637225877974</v>
      </c>
      <c r="J17" s="13">
        <f t="shared" si="1"/>
        <v>-16619.921831689429</v>
      </c>
    </row>
    <row r="19" spans="1:10">
      <c r="A19" s="1" t="s">
        <v>224</v>
      </c>
    </row>
    <row r="20" spans="1:10" ht="18" customHeight="1">
      <c r="B20" s="30" t="s">
        <v>225</v>
      </c>
      <c r="F20" s="77">
        <f>'Balance Sheet PROJECTED'!N25-'Balance Sheet PROJECTED'!M25</f>
        <v>0</v>
      </c>
      <c r="G20" s="77">
        <f>'Balance Sheet PROJECTED'!O25-'Balance Sheet PROJECTED'!N25</f>
        <v>0</v>
      </c>
      <c r="H20" s="77">
        <f>'Balance Sheet PROJECTED'!P25-'Balance Sheet PROJECTED'!O25</f>
        <v>0</v>
      </c>
      <c r="I20" s="77">
        <f>'Balance Sheet PROJECTED'!Q25-'Balance Sheet PROJECTED'!P25</f>
        <v>0</v>
      </c>
      <c r="J20" s="77">
        <f>'Balance Sheet PROJECTED'!R25-'Balance Sheet PROJECTED'!Q25</f>
        <v>0</v>
      </c>
    </row>
    <row r="21" spans="1:10" ht="18" customHeight="1">
      <c r="B21" s="30" t="s">
        <v>226</v>
      </c>
      <c r="F21" s="73">
        <f>'Balance Sheet PROJECTED'!N26-'Balance Sheet PROJECTED'!M26</f>
        <v>0</v>
      </c>
      <c r="G21" s="73">
        <f>'Balance Sheet PROJECTED'!O26-'Balance Sheet PROJECTED'!N26</f>
        <v>0</v>
      </c>
      <c r="H21" s="73">
        <f>'Balance Sheet PROJECTED'!P26-'Balance Sheet PROJECTED'!O26</f>
        <v>0</v>
      </c>
      <c r="I21" s="73">
        <f>'Balance Sheet PROJECTED'!Q26-'Balance Sheet PROJECTED'!P26</f>
        <v>0</v>
      </c>
      <c r="J21" s="73">
        <f>'Balance Sheet PROJECTED'!R26-'Balance Sheet PROJECTED'!Q26</f>
        <v>0</v>
      </c>
    </row>
    <row r="22" spans="1:10" ht="18" customHeight="1">
      <c r="B22" s="30" t="s">
        <v>59</v>
      </c>
      <c r="F22" s="73">
        <f>'Balance Sheet PROJECTED'!N30-'Balance Sheet PROJECTED'!M30</f>
        <v>-5567.2000000000007</v>
      </c>
      <c r="G22" s="73">
        <f>'Balance Sheet PROJECTED'!O30-'Balance Sheet PROJECTED'!N30</f>
        <v>-5567.2000000000007</v>
      </c>
      <c r="H22" s="73">
        <f>'Balance Sheet PROJECTED'!P30-'Balance Sheet PROJECTED'!O30</f>
        <v>-5567.2000000000007</v>
      </c>
      <c r="I22" s="73">
        <f>'Balance Sheet PROJECTED'!Q30-'Balance Sheet PROJECTED'!P30</f>
        <v>-5567.2</v>
      </c>
      <c r="J22" s="73">
        <f>'Balance Sheet PROJECTED'!R30-'Balance Sheet PROJECTED'!Q30</f>
        <v>-5567.199999999998</v>
      </c>
    </row>
    <row r="23" spans="1:10" ht="18" customHeight="1">
      <c r="B23" s="30" t="s">
        <v>174</v>
      </c>
      <c r="F23" s="73">
        <f>'Balance Sheet PROJECTED'!N31-'Balance Sheet PROJECTED'!M31</f>
        <v>-800</v>
      </c>
      <c r="G23" s="73">
        <f>'Balance Sheet PROJECTED'!O31-'Balance Sheet PROJECTED'!N31</f>
        <v>-800</v>
      </c>
      <c r="H23" s="73">
        <f>'Balance Sheet PROJECTED'!P31-'Balance Sheet PROJECTED'!O31</f>
        <v>-800</v>
      </c>
      <c r="I23" s="73">
        <f>'Balance Sheet PROJECTED'!Q31-'Balance Sheet PROJECTED'!P31</f>
        <v>-800</v>
      </c>
      <c r="J23" s="73">
        <f>'Balance Sheet PROJECTED'!R31-'Balance Sheet PROJECTED'!Q31</f>
        <v>-800</v>
      </c>
    </row>
    <row r="24" spans="1:10" ht="18" customHeight="1">
      <c r="B24" s="30" t="s">
        <v>175</v>
      </c>
      <c r="F24" s="73">
        <f>'Balance Sheet PROJECTED'!N32-'Balance Sheet PROJECTED'!M32</f>
        <v>0</v>
      </c>
      <c r="G24" s="73">
        <f>'Balance Sheet PROJECTED'!O32-'Balance Sheet PROJECTED'!N32</f>
        <v>0</v>
      </c>
      <c r="H24" s="73">
        <f>'Balance Sheet PROJECTED'!P32-'Balance Sheet PROJECTED'!O32</f>
        <v>0</v>
      </c>
      <c r="I24" s="73">
        <f>'Balance Sheet PROJECTED'!Q32-'Balance Sheet PROJECTED'!P32</f>
        <v>-26000</v>
      </c>
      <c r="J24" s="73">
        <f>'Balance Sheet PROJECTED'!R32-'Balance Sheet PROJECTED'!Q32</f>
        <v>0</v>
      </c>
    </row>
    <row r="25" spans="1:10" ht="18" customHeight="1">
      <c r="B25" s="30" t="s">
        <v>176</v>
      </c>
      <c r="F25" s="73">
        <f>'Balance Sheet PROJECTED'!N33-'Balance Sheet PROJECTED'!M33</f>
        <v>0</v>
      </c>
      <c r="G25" s="73">
        <f>'Balance Sheet PROJECTED'!O33-'Balance Sheet PROJECTED'!N33</f>
        <v>0</v>
      </c>
      <c r="H25" s="73">
        <f>'Balance Sheet PROJECTED'!P33-'Balance Sheet PROJECTED'!O33</f>
        <v>0</v>
      </c>
      <c r="I25" s="73">
        <f>'Balance Sheet PROJECTED'!Q33-'Balance Sheet PROJECTED'!P33</f>
        <v>0</v>
      </c>
      <c r="J25" s="73">
        <f>'Balance Sheet PROJECTED'!R33-'Balance Sheet PROJECTED'!Q33</f>
        <v>0</v>
      </c>
    </row>
    <row r="26" spans="1:10" ht="18" customHeight="1">
      <c r="B26" s="30" t="s">
        <v>30</v>
      </c>
      <c r="F26" s="73">
        <f>'Balance Sheet PROJECTED'!N40-'Balance Sheet PROJECTED'!M40</f>
        <v>0</v>
      </c>
      <c r="G26" s="73">
        <f>'Balance Sheet PROJECTED'!O40-'Balance Sheet PROJECTED'!N40</f>
        <v>0</v>
      </c>
      <c r="H26" s="73">
        <f>'Balance Sheet PROJECTED'!P40-'Balance Sheet PROJECTED'!O40</f>
        <v>0</v>
      </c>
      <c r="I26" s="73">
        <f>'Balance Sheet PROJECTED'!Q40-'Balance Sheet PROJECTED'!P40</f>
        <v>0</v>
      </c>
      <c r="J26" s="73">
        <f>'Balance Sheet PROJECTED'!R40-'Balance Sheet PROJECTED'!Q40</f>
        <v>0</v>
      </c>
    </row>
    <row r="27" spans="1:10" ht="18" customHeight="1">
      <c r="B27" s="30" t="s">
        <v>31</v>
      </c>
      <c r="F27" s="73">
        <f>'Balance Sheet PROJECTED'!N41-'Balance Sheet PROJECTED'!M41</f>
        <v>0</v>
      </c>
      <c r="G27" s="73">
        <f>'Balance Sheet PROJECTED'!O41-'Balance Sheet PROJECTED'!N41</f>
        <v>0</v>
      </c>
      <c r="H27" s="73">
        <f>'Balance Sheet PROJECTED'!P41-'Balance Sheet PROJECTED'!O41</f>
        <v>0</v>
      </c>
      <c r="I27" s="73">
        <f>'Balance Sheet PROJECTED'!Q41-'Balance Sheet PROJECTED'!P41</f>
        <v>0</v>
      </c>
      <c r="J27" s="73">
        <f>'Balance Sheet PROJECTED'!R41-'Balance Sheet PROJECTED'!Q41</f>
        <v>0</v>
      </c>
    </row>
    <row r="28" spans="1:10" ht="18" customHeight="1">
      <c r="B28" s="30" t="s">
        <v>228</v>
      </c>
      <c r="F28" s="73">
        <f>'Balance Sheet PROJECTED'!N43-'Balance Sheet PROJECTED'!M43</f>
        <v>0</v>
      </c>
      <c r="G28" s="73">
        <f>'Balance Sheet PROJECTED'!O43-'Balance Sheet PROJECTED'!N43</f>
        <v>0</v>
      </c>
      <c r="H28" s="73">
        <f>'Balance Sheet PROJECTED'!P43-'Balance Sheet PROJECTED'!O43</f>
        <v>0</v>
      </c>
      <c r="I28" s="73">
        <f>'Balance Sheet PROJECTED'!Q43-'Balance Sheet PROJECTED'!P43</f>
        <v>0</v>
      </c>
      <c r="J28" s="73">
        <f>'Balance Sheet PROJECTED'!R43-'Balance Sheet PROJECTED'!Q43</f>
        <v>0</v>
      </c>
    </row>
    <row r="29" spans="1:10" ht="18" customHeight="1">
      <c r="B29" s="30" t="s">
        <v>227</v>
      </c>
      <c r="F29" s="73">
        <f>'Balance Sheet PROJECTED'!N44-'Balance Sheet PROJECTED'!M44</f>
        <v>-7000</v>
      </c>
      <c r="G29" s="73">
        <f>'Balance Sheet PROJECTED'!O44-'Balance Sheet PROJECTED'!N44</f>
        <v>0</v>
      </c>
      <c r="H29" s="73">
        <f>'Balance Sheet PROJECTED'!P44-'Balance Sheet PROJECTED'!O44</f>
        <v>0</v>
      </c>
      <c r="I29" s="73">
        <f>'Balance Sheet PROJECTED'!Q44-'Balance Sheet PROJECTED'!P44</f>
        <v>0</v>
      </c>
      <c r="J29" s="73">
        <f>'Balance Sheet PROJECTED'!R44-'Balance Sheet PROJECTED'!Q44</f>
        <v>0</v>
      </c>
    </row>
    <row r="30" spans="1:10" ht="18" customHeight="1">
      <c r="B30" s="30" t="s">
        <v>229</v>
      </c>
      <c r="F30" s="40">
        <f ca="1">-Calcs!N7</f>
        <v>-47072.171875810389</v>
      </c>
      <c r="G30" s="40">
        <f ca="1">-Calcs!O7</f>
        <v>-50978.462681534576</v>
      </c>
      <c r="H30" s="40">
        <f ca="1">-Calcs!P7</f>
        <v>-55187.32518138193</v>
      </c>
      <c r="I30" s="40">
        <f ca="1">-Calcs!Q7</f>
        <v>-59571.583931413865</v>
      </c>
      <c r="J30" s="40">
        <f ca="1">-Calcs!R7</f>
        <v>-64721.41563468003</v>
      </c>
    </row>
    <row r="31" spans="1:10">
      <c r="B31" s="8" t="s">
        <v>230</v>
      </c>
      <c r="F31" s="13">
        <f ca="1">SUM(F20:F30)</f>
        <v>-60439.371875810393</v>
      </c>
      <c r="G31" s="13">
        <f t="shared" ref="G31:J31" ca="1" si="2">SUM(G20:G30)</f>
        <v>-57345.662681534581</v>
      </c>
      <c r="H31" s="13">
        <f t="shared" ca="1" si="2"/>
        <v>-61554.525181381934</v>
      </c>
      <c r="I31" s="13">
        <f t="shared" ca="1" si="2"/>
        <v>-91938.783931413869</v>
      </c>
      <c r="J31" s="13">
        <f t="shared" ca="1" si="2"/>
        <v>-71088.615634680027</v>
      </c>
    </row>
    <row r="33" spans="1:10">
      <c r="B33" s="42" t="s">
        <v>231</v>
      </c>
      <c r="F33" s="78">
        <f ca="1">F11+F17+F31</f>
        <v>18455.917158322423</v>
      </c>
      <c r="G33" s="78">
        <f t="shared" ref="G33:J33" ca="1" si="3">G11+G17+G31</f>
        <v>22773.641180547289</v>
      </c>
      <c r="H33" s="78">
        <f t="shared" ca="1" si="3"/>
        <v>25316.648008438453</v>
      </c>
      <c r="I33" s="78">
        <f t="shared" ca="1" si="3"/>
        <v>1943.9892162209871</v>
      </c>
      <c r="J33" s="78">
        <f t="shared" ca="1" si="3"/>
        <v>30069.893843498212</v>
      </c>
    </row>
    <row r="35" spans="1:10">
      <c r="A35" s="1" t="s">
        <v>232</v>
      </c>
    </row>
    <row r="36" spans="1:10" ht="18" customHeight="1">
      <c r="B36" s="30" t="s">
        <v>233</v>
      </c>
      <c r="F36" s="77">
        <f>E38</f>
        <v>46699</v>
      </c>
      <c r="G36" s="77">
        <f t="shared" ref="G36:J36" ca="1" si="4">F38</f>
        <v>65154.917158322423</v>
      </c>
      <c r="H36" s="77">
        <f t="shared" ca="1" si="4"/>
        <v>87928.558338869712</v>
      </c>
      <c r="I36" s="77">
        <f t="shared" ca="1" si="4"/>
        <v>113245.20634730817</v>
      </c>
      <c r="J36" s="77">
        <f t="shared" ca="1" si="4"/>
        <v>115189.19556352915</v>
      </c>
    </row>
    <row r="37" spans="1:10" ht="18" customHeight="1">
      <c r="B37" s="30" t="s">
        <v>234</v>
      </c>
      <c r="F37" s="40">
        <f ca="1">F33</f>
        <v>18455.917158322423</v>
      </c>
      <c r="G37" s="40">
        <f t="shared" ref="G37:J37" ca="1" si="5">G33</f>
        <v>22773.641180547289</v>
      </c>
      <c r="H37" s="40">
        <f t="shared" ca="1" si="5"/>
        <v>25316.648008438453</v>
      </c>
      <c r="I37" s="40">
        <f t="shared" ca="1" si="5"/>
        <v>1943.9892162209871</v>
      </c>
      <c r="J37" s="40">
        <f t="shared" ca="1" si="5"/>
        <v>30069.893843498212</v>
      </c>
    </row>
    <row r="38" spans="1:10" ht="18" customHeight="1">
      <c r="B38" s="42" t="s">
        <v>235</v>
      </c>
      <c r="E38" s="50">
        <f>'Balance Sheet PROJECTED'!$M$6</f>
        <v>46699</v>
      </c>
      <c r="F38" s="13">
        <f ca="1">SUM(F36:F37)</f>
        <v>65154.917158322423</v>
      </c>
      <c r="G38" s="13">
        <f t="shared" ref="G38:J38" ca="1" si="6">SUM(G36:G37)</f>
        <v>87928.558338869712</v>
      </c>
      <c r="H38" s="13">
        <f t="shared" ca="1" si="6"/>
        <v>113245.20634730817</v>
      </c>
      <c r="I38" s="13">
        <f t="shared" ca="1" si="6"/>
        <v>115189.19556352915</v>
      </c>
      <c r="J38" s="13">
        <f t="shared" ca="1" si="6"/>
        <v>145259.08940702735</v>
      </c>
    </row>
    <row r="40" spans="1:10" ht="18" customHeight="1">
      <c r="B40" s="30" t="s">
        <v>206</v>
      </c>
      <c r="F40" s="39">
        <f>'Balance Sheet PROJECTED'!N6</f>
        <v>51183.575190000003</v>
      </c>
      <c r="G40" s="39">
        <f>'Balance Sheet PROJECTED'!O6</f>
        <v>54766.425453299998</v>
      </c>
      <c r="H40" s="39">
        <f>'Balance Sheet PROJECTED'!P6</f>
        <v>58600.075235031007</v>
      </c>
      <c r="I40" s="39">
        <f>'Balance Sheet PROJECTED'!Q6</f>
        <v>62702.080501483179</v>
      </c>
      <c r="J40" s="39">
        <f>'Balance Sheet PROJECTED'!R6</f>
        <v>67091.226136586993</v>
      </c>
    </row>
    <row r="41" spans="1:10" ht="18" customHeight="1">
      <c r="B41" s="30" t="s">
        <v>236</v>
      </c>
      <c r="F41" s="73">
        <f ca="1">F38-F40</f>
        <v>13971.34196832242</v>
      </c>
      <c r="G41" s="73">
        <f t="shared" ref="G41:J41" ca="1" si="7">G38-G40</f>
        <v>33162.132885569714</v>
      </c>
      <c r="H41" s="73">
        <f t="shared" ca="1" si="7"/>
        <v>54645.131112277159</v>
      </c>
      <c r="I41" s="73">
        <f t="shared" ca="1" si="7"/>
        <v>52487.115062045974</v>
      </c>
      <c r="J41" s="73">
        <f t="shared" ca="1" si="7"/>
        <v>78167.863270440357</v>
      </c>
    </row>
    <row r="43" spans="1:10">
      <c r="A43" s="1" t="s">
        <v>359</v>
      </c>
      <c r="B43" s="18"/>
      <c r="C43" s="18"/>
      <c r="D43" s="18"/>
      <c r="E43" s="18"/>
      <c r="F43" s="18"/>
      <c r="G43" s="18"/>
      <c r="H43" s="18"/>
      <c r="I43" s="18"/>
      <c r="J43" s="18"/>
    </row>
    <row r="44" spans="1:10">
      <c r="A44" s="18"/>
      <c r="B44" s="18" t="s">
        <v>360</v>
      </c>
      <c r="C44" s="18"/>
      <c r="D44" s="18"/>
      <c r="E44" s="18"/>
      <c r="F44" s="157">
        <f>'Income Statement'!N14</f>
        <v>109949.90226000002</v>
      </c>
      <c r="G44" s="157">
        <f>'Income Statement'!O14</f>
        <v>117646.39541819996</v>
      </c>
      <c r="H44" s="157">
        <f>'Income Statement'!P14</f>
        <v>125881.64309747398</v>
      </c>
      <c r="I44" s="157">
        <f>'Income Statement'!Q14</f>
        <v>134693.35811429724</v>
      </c>
      <c r="J44" s="157">
        <f>'Income Statement'!R14</f>
        <v>145167.6310222091</v>
      </c>
    </row>
    <row r="45" spans="1:10">
      <c r="A45" s="18"/>
      <c r="B45" s="18" t="s">
        <v>361</v>
      </c>
      <c r="C45" s="18"/>
      <c r="D45" s="18"/>
      <c r="E45" s="18"/>
      <c r="F45" s="51">
        <f>'Income Statement'!N17</f>
        <v>0</v>
      </c>
      <c r="G45" s="51">
        <f>'Income Statement'!O17</f>
        <v>0</v>
      </c>
      <c r="H45" s="51">
        <f>'Income Statement'!P17</f>
        <v>0</v>
      </c>
      <c r="I45" s="51">
        <f>'Income Statement'!Q17</f>
        <v>0</v>
      </c>
      <c r="J45" s="51">
        <f>'Income Statement'!R17</f>
        <v>0</v>
      </c>
    </row>
    <row r="46" spans="1:10">
      <c r="A46" s="18"/>
      <c r="B46" s="18" t="s">
        <v>362</v>
      </c>
      <c r="C46" s="18"/>
      <c r="D46" s="18"/>
      <c r="E46" s="18"/>
      <c r="F46" s="51">
        <f ca="1">'Income Statement'!N19</f>
        <v>25108.069414277339</v>
      </c>
      <c r="G46" s="51">
        <f ca="1">'Income Statement'!O19</f>
        <v>27191.666087089405</v>
      </c>
      <c r="H46" s="51">
        <f ca="1">'Income Statement'!P19</f>
        <v>29436.653042017264</v>
      </c>
      <c r="I46" s="51">
        <f ca="1">'Income Statement'!Q19</f>
        <v>31775.19551072632</v>
      </c>
      <c r="J46" s="51">
        <f ca="1">'Income Statement'!R19</f>
        <v>34522.090899759758</v>
      </c>
    </row>
    <row r="47" spans="1:10">
      <c r="A47" s="18"/>
      <c r="B47" s="8" t="s">
        <v>363</v>
      </c>
      <c r="C47" s="18"/>
      <c r="D47" s="18"/>
      <c r="E47" s="18"/>
      <c r="F47" s="13">
        <f ca="1">F44+F45-F46</f>
        <v>84841.832845722674</v>
      </c>
      <c r="G47" s="13">
        <f t="shared" ref="G47:J47" ca="1" si="8">G44+G45-G46</f>
        <v>90454.729331110546</v>
      </c>
      <c r="H47" s="13">
        <f t="shared" ca="1" si="8"/>
        <v>96444.990055456714</v>
      </c>
      <c r="I47" s="13">
        <f t="shared" ca="1" si="8"/>
        <v>102918.16260357092</v>
      </c>
      <c r="J47" s="13">
        <f t="shared" ca="1" si="8"/>
        <v>110645.54012244934</v>
      </c>
    </row>
    <row r="48" spans="1:10">
      <c r="A48" s="18"/>
      <c r="B48" s="18"/>
      <c r="C48" s="18"/>
      <c r="D48" s="18"/>
      <c r="E48" s="18"/>
      <c r="F48" s="18"/>
      <c r="G48" s="18"/>
      <c r="H48" s="18"/>
      <c r="I48" s="18"/>
      <c r="J48" s="18"/>
    </row>
    <row r="49" spans="1:10">
      <c r="A49" s="18"/>
      <c r="B49" s="18" t="s">
        <v>363</v>
      </c>
      <c r="C49" s="18"/>
      <c r="D49" s="18"/>
      <c r="E49" s="18"/>
      <c r="F49" s="157">
        <f ca="1">F47</f>
        <v>84841.832845722674</v>
      </c>
      <c r="G49" s="157">
        <f t="shared" ref="G49:J49" ca="1" si="9">G47</f>
        <v>90454.729331110546</v>
      </c>
      <c r="H49" s="157">
        <f t="shared" ca="1" si="9"/>
        <v>96444.990055456714</v>
      </c>
      <c r="I49" s="157">
        <f t="shared" ca="1" si="9"/>
        <v>102918.16260357092</v>
      </c>
      <c r="J49" s="157">
        <f t="shared" ca="1" si="9"/>
        <v>110645.54012244934</v>
      </c>
    </row>
    <row r="50" spans="1:10">
      <c r="A50" s="18"/>
      <c r="B50" s="18" t="s">
        <v>137</v>
      </c>
      <c r="C50" s="18"/>
      <c r="D50" s="18"/>
      <c r="E50" s="18"/>
      <c r="F50" s="51">
        <f>'Cash Flow Statement'!F8</f>
        <v>8846.5438599999998</v>
      </c>
      <c r="G50" s="51">
        <f>'Cash Flow Statement'!G8</f>
        <v>9465.8019301999993</v>
      </c>
      <c r="H50" s="51">
        <f>'Cash Flow Statement'!H8</f>
        <v>10128.408065314001</v>
      </c>
      <c r="I50" s="51">
        <f>'Cash Flow Statement'!I8</f>
        <v>10837.396629885981</v>
      </c>
      <c r="J50" s="51">
        <f>'Cash Flow Statement'!J8</f>
        <v>11596.014393977999</v>
      </c>
    </row>
    <row r="51" spans="1:10">
      <c r="A51" s="18"/>
      <c r="B51" s="18" t="s">
        <v>161</v>
      </c>
      <c r="C51" s="18"/>
      <c r="D51" s="18"/>
      <c r="E51" s="18"/>
      <c r="F51" s="51">
        <f>'Cash Flow Statement'!F9</f>
        <v>1263.79198</v>
      </c>
      <c r="G51" s="51">
        <f>'Cash Flow Statement'!G9</f>
        <v>1352.2574185999999</v>
      </c>
      <c r="H51" s="51">
        <f>'Cash Flow Statement'!H9</f>
        <v>1446.9154379020001</v>
      </c>
      <c r="I51" s="51">
        <f>'Cash Flow Statement'!I9</f>
        <v>1548.1995185551402</v>
      </c>
      <c r="J51" s="51">
        <f>'Cash Flow Statement'!J9</f>
        <v>610.83564494285952</v>
      </c>
    </row>
    <row r="52" spans="1:10" ht="15">
      <c r="A52" s="18"/>
      <c r="B52" s="183" t="s">
        <v>397</v>
      </c>
      <c r="C52" s="18"/>
      <c r="D52" s="18"/>
      <c r="E52" s="18"/>
      <c r="F52" s="51">
        <f>'Cash Flow Statement'!F10</f>
        <v>-2740.6807941000006</v>
      </c>
      <c r="G52" s="51">
        <f>'Cash Flow Statement'!G10</f>
        <v>-8164.9176555870217</v>
      </c>
      <c r="H52" s="51">
        <f>'Cash Flow Statement'!H10</f>
        <v>-8736.4618914780585</v>
      </c>
      <c r="I52" s="51">
        <f>'Cash Flow Statement'!I10</f>
        <v>-9348.0142238816188</v>
      </c>
      <c r="J52" s="51">
        <f>'Cash Flow Statement'!J10</f>
        <v>-10002.375219553229</v>
      </c>
    </row>
    <row r="53" spans="1:10">
      <c r="A53" s="18"/>
      <c r="B53" s="18" t="s">
        <v>220</v>
      </c>
      <c r="C53" s="18"/>
      <c r="D53" s="18"/>
      <c r="E53" s="18"/>
      <c r="F53" s="51">
        <f>'Cash Flow Statement'!F14</f>
        <v>-12637.9198</v>
      </c>
      <c r="G53" s="51">
        <f>'Cash Flow Statement'!G14</f>
        <v>-13522.574186</v>
      </c>
      <c r="H53" s="51">
        <f>'Cash Flow Statement'!H14</f>
        <v>-14469.154379020001</v>
      </c>
      <c r="I53" s="51">
        <f>'Cash Flow Statement'!I14</f>
        <v>-15481.995185551401</v>
      </c>
      <c r="J53" s="51">
        <f>'Cash Flow Statement'!J14</f>
        <v>-16565.73484854</v>
      </c>
    </row>
    <row r="54" spans="1:10" ht="15">
      <c r="A54" s="18"/>
      <c r="B54" s="183" t="s">
        <v>398</v>
      </c>
      <c r="C54" s="18"/>
      <c r="D54" s="18"/>
      <c r="E54" s="18"/>
      <c r="F54" s="51">
        <f>'Cash Flow Statement'!F15</f>
        <v>-993.39975000000049</v>
      </c>
      <c r="G54" s="51">
        <f>'Cash Flow Statement'!G15</f>
        <v>-1105.8179825000007</v>
      </c>
      <c r="H54" s="51">
        <f>'Cash Flow Statement'!H15</f>
        <v>-1183.2252412749986</v>
      </c>
      <c r="I54" s="51">
        <f>'Cash Flow Statement'!I15</f>
        <v>-1266.0510081642533</v>
      </c>
      <c r="J54" s="51">
        <f>'Cash Flow Statement'!J15</f>
        <v>-1354.6745787357468</v>
      </c>
    </row>
    <row r="55" spans="1:10" ht="15">
      <c r="A55" s="18"/>
      <c r="B55" s="183" t="s">
        <v>399</v>
      </c>
      <c r="C55" s="18"/>
      <c r="D55" s="18"/>
      <c r="E55" s="18"/>
      <c r="F55" s="51">
        <f>'Cash Flow Statement'!F16</f>
        <v>1099.5037599999996</v>
      </c>
      <c r="G55" s="51">
        <f>'Cash Flow Statement'!G16</f>
        <v>1061.5852632000006</v>
      </c>
      <c r="H55" s="51">
        <f>'Cash Flow Statement'!H16</f>
        <v>1135.8962316240013</v>
      </c>
      <c r="I55" s="51">
        <f>'Cash Flow Statement'!I16</f>
        <v>1215.4089678376804</v>
      </c>
      <c r="J55" s="51">
        <f>'Cash Flow Statement'!J16</f>
        <v>1300.4875955863172</v>
      </c>
    </row>
    <row r="56" spans="1:10">
      <c r="A56" s="18"/>
      <c r="B56" s="8" t="s">
        <v>364</v>
      </c>
      <c r="C56" s="18"/>
      <c r="D56" s="18"/>
      <c r="E56" s="18"/>
      <c r="F56" s="13">
        <f ca="1">SUM(F49:F55)</f>
        <v>79679.67210162268</v>
      </c>
      <c r="G56" s="13">
        <f t="shared" ref="G56:J56" ca="1" si="10">SUM(G49:G55)</f>
        <v>79541.064119023533</v>
      </c>
      <c r="H56" s="13">
        <f t="shared" ca="1" si="10"/>
        <v>84767.36827852366</v>
      </c>
      <c r="I56" s="13">
        <f t="shared" ca="1" si="10"/>
        <v>90423.107302252436</v>
      </c>
      <c r="J56" s="13">
        <f t="shared" ca="1" si="10"/>
        <v>96230.09311012752</v>
      </c>
    </row>
    <row r="57" spans="1:10">
      <c r="A57" s="18"/>
      <c r="B57" s="18"/>
      <c r="C57" s="18"/>
      <c r="D57" s="18"/>
      <c r="E57" s="18"/>
      <c r="F57" s="18"/>
      <c r="G57" s="18"/>
      <c r="H57" s="18"/>
      <c r="I57" s="18"/>
      <c r="J57" s="18"/>
    </row>
    <row r="58" spans="1:10">
      <c r="A58" s="1" t="s">
        <v>365</v>
      </c>
      <c r="B58" s="18"/>
      <c r="C58" s="18"/>
      <c r="D58" s="18"/>
      <c r="E58" s="18"/>
      <c r="F58" s="18"/>
      <c r="G58" s="18"/>
      <c r="H58" s="18"/>
      <c r="I58" s="18"/>
      <c r="J58" s="18"/>
    </row>
    <row r="59" spans="1:10">
      <c r="A59" s="18"/>
      <c r="B59" s="18" t="s">
        <v>366</v>
      </c>
      <c r="C59" s="18"/>
      <c r="D59" s="153">
        <v>0.02</v>
      </c>
      <c r="E59" s="18"/>
      <c r="F59" s="18"/>
      <c r="G59" s="18"/>
      <c r="H59" s="18"/>
      <c r="I59" s="18"/>
      <c r="J59" s="18"/>
    </row>
    <row r="60" spans="1:10">
      <c r="A60" s="18"/>
      <c r="B60" s="18" t="s">
        <v>367</v>
      </c>
      <c r="C60" s="18"/>
      <c r="D60" s="158">
        <f>WACC!B14</f>
        <v>6.2132540000000007E-2</v>
      </c>
      <c r="E60" s="18"/>
      <c r="F60" s="18"/>
      <c r="G60" s="18"/>
      <c r="H60" s="18"/>
      <c r="I60" s="18"/>
      <c r="J60" s="18"/>
    </row>
    <row r="61" spans="1:10">
      <c r="A61" s="18"/>
      <c r="B61" s="8" t="s">
        <v>365</v>
      </c>
      <c r="C61" s="18"/>
      <c r="D61" s="13">
        <f ca="1">J56*(1+D59)/(D60-D59)</f>
        <v>2329664.7904999331</v>
      </c>
      <c r="E61" s="18"/>
      <c r="F61" s="18"/>
      <c r="G61" s="18"/>
      <c r="H61" s="18"/>
      <c r="I61" s="18"/>
      <c r="J61" s="18"/>
    </row>
    <row r="62" spans="1:10">
      <c r="A62" s="18"/>
      <c r="B62" s="18"/>
      <c r="C62" s="159"/>
      <c r="D62" s="159"/>
      <c r="E62" s="159"/>
      <c r="F62" s="160" t="s">
        <v>368</v>
      </c>
      <c r="G62" s="160" t="s">
        <v>369</v>
      </c>
      <c r="H62" s="160" t="s">
        <v>370</v>
      </c>
      <c r="I62" s="160" t="s">
        <v>332</v>
      </c>
      <c r="J62" s="160" t="s">
        <v>371</v>
      </c>
    </row>
    <row r="63" spans="1:10">
      <c r="A63" s="161" t="s">
        <v>372</v>
      </c>
      <c r="B63" s="159"/>
      <c r="C63" s="159"/>
      <c r="D63" s="159"/>
      <c r="E63" s="159"/>
      <c r="F63" s="162">
        <v>45730</v>
      </c>
      <c r="G63" s="163">
        <v>45900</v>
      </c>
      <c r="H63" s="164">
        <f>G63-F63</f>
        <v>170</v>
      </c>
      <c r="I63" s="165">
        <v>365.25</v>
      </c>
      <c r="J63" s="166">
        <f>H63/I63</f>
        <v>0.4654346338124572</v>
      </c>
    </row>
    <row r="64" spans="1:10">
      <c r="A64" s="159"/>
      <c r="B64" s="159" t="s">
        <v>373</v>
      </c>
      <c r="C64" s="167" t="s">
        <v>374</v>
      </c>
      <c r="D64" s="159"/>
      <c r="E64" s="159"/>
      <c r="F64" s="159"/>
      <c r="G64" s="159"/>
      <c r="H64" s="159"/>
      <c r="I64" s="159"/>
      <c r="J64" s="159"/>
    </row>
    <row r="65" spans="1:10">
      <c r="A65" s="159"/>
      <c r="B65" s="159" t="s">
        <v>375</v>
      </c>
      <c r="C65" s="159"/>
      <c r="D65" s="159"/>
      <c r="E65" s="159"/>
      <c r="F65" s="168">
        <f>IF($C$64="YES",J63/2,1)</f>
        <v>0.2327173169062286</v>
      </c>
      <c r="G65" s="168">
        <f>F65+1</f>
        <v>1.2327173169062287</v>
      </c>
      <c r="H65" s="168">
        <f t="shared" ref="H65:J65" si="11">G65+1</f>
        <v>2.2327173169062284</v>
      </c>
      <c r="I65" s="168">
        <f t="shared" si="11"/>
        <v>3.2327173169062284</v>
      </c>
      <c r="J65" s="168">
        <f t="shared" si="11"/>
        <v>4.2327173169062284</v>
      </c>
    </row>
    <row r="66" spans="1:10">
      <c r="A66" s="159"/>
      <c r="B66" s="159" t="s">
        <v>376</v>
      </c>
      <c r="C66" s="159"/>
      <c r="D66" s="159"/>
      <c r="E66" s="159"/>
      <c r="F66" s="168">
        <f>1/(1+$D$60)^F65</f>
        <v>0.98607003118918546</v>
      </c>
      <c r="G66" s="168">
        <f t="shared" ref="G66:J66" si="12">1/(1+$D$60)^G65</f>
        <v>0.9283869894327742</v>
      </c>
      <c r="H66" s="168">
        <f t="shared" si="12"/>
        <v>0.87407828540190879</v>
      </c>
      <c r="I66" s="168">
        <f t="shared" si="12"/>
        <v>0.82294652737210072</v>
      </c>
      <c r="J66" s="168">
        <f t="shared" si="12"/>
        <v>0.77480587062336015</v>
      </c>
    </row>
    <row r="67" spans="1:10">
      <c r="A67" s="159"/>
      <c r="B67" s="169" t="s">
        <v>377</v>
      </c>
      <c r="C67" s="159"/>
      <c r="D67" s="159"/>
      <c r="E67" s="159"/>
      <c r="F67" s="170">
        <f ca="1">F56*F66*J63</f>
        <v>36569.076655021207</v>
      </c>
      <c r="G67" s="170">
        <f ca="1">G56*G66</f>
        <v>73844.88905373952</v>
      </c>
      <c r="H67" s="170">
        <f t="shared" ref="H67:J67" ca="1" si="13">H56*H66</f>
        <v>74093.315922924114</v>
      </c>
      <c r="I67" s="170">
        <f t="shared" ca="1" si="13"/>
        <v>74413.382148583478</v>
      </c>
      <c r="J67" s="170">
        <f t="shared" ca="1" si="13"/>
        <v>74559.641072359358</v>
      </c>
    </row>
    <row r="68" spans="1:10">
      <c r="A68" s="18"/>
      <c r="B68" s="18"/>
      <c r="C68" s="18"/>
      <c r="D68" s="18"/>
      <c r="E68" s="18"/>
      <c r="F68" s="18"/>
      <c r="G68" s="18"/>
      <c r="H68" s="18"/>
      <c r="I68" s="18"/>
      <c r="J68" s="18"/>
    </row>
    <row r="69" spans="1:10">
      <c r="A69" s="18"/>
      <c r="B69" s="159" t="s">
        <v>378</v>
      </c>
      <c r="C69" s="171">
        <f ca="1">SUM(F67:J67)</f>
        <v>333480.30485262768</v>
      </c>
      <c r="D69" s="18"/>
      <c r="E69" s="302" t="s">
        <v>249</v>
      </c>
      <c r="F69" s="303"/>
      <c r="G69" s="303"/>
      <c r="H69" s="303"/>
      <c r="I69" s="303"/>
      <c r="J69" s="304" t="s">
        <v>579</v>
      </c>
    </row>
    <row r="70" spans="1:10">
      <c r="A70" s="18"/>
      <c r="B70" s="159" t="s">
        <v>379</v>
      </c>
      <c r="C70" s="52">
        <f ca="1">D61*J66</f>
        <v>1805037.9562638886</v>
      </c>
      <c r="D70" s="18"/>
      <c r="E70" s="245">
        <f ca="1">$C$86</f>
        <v>153.95057337438948</v>
      </c>
      <c r="F70" s="301">
        <f>G70-0.5%</f>
        <v>9.9999999999999985E-3</v>
      </c>
      <c r="G70" s="301">
        <f>H70-0.5%</f>
        <v>1.4999999999999999E-2</v>
      </c>
      <c r="H70" s="300">
        <v>0.02</v>
      </c>
      <c r="I70" s="301">
        <f>H70+0.5%</f>
        <v>2.5000000000000001E-2</v>
      </c>
      <c r="J70" s="301">
        <f>I70+0.5%</f>
        <v>3.0000000000000002E-2</v>
      </c>
    </row>
    <row r="71" spans="1:10">
      <c r="A71" s="18"/>
      <c r="B71" s="161" t="s">
        <v>380</v>
      </c>
      <c r="C71" s="170">
        <f ca="1">SUM(C69:C70)</f>
        <v>2138518.2611165163</v>
      </c>
      <c r="D71" s="18"/>
      <c r="E71" s="301">
        <f>E72+0.5%</f>
        <v>7.2132540000000009E-2</v>
      </c>
      <c r="F71" s="305">
        <f t="dataTable" ref="F71:J75" dt2D="1" dtr="1" r1="D59" r2="D60" ca="1"/>
        <v>106.13337148273099</v>
      </c>
      <c r="G71" s="306">
        <v>114.12204659857569</v>
      </c>
      <c r="H71" s="306">
        <v>123.64309959507702</v>
      </c>
      <c r="I71" s="306">
        <v>135.18421198080313</v>
      </c>
      <c r="J71" s="306">
        <v>149.46456401021703</v>
      </c>
    </row>
    <row r="72" spans="1:10">
      <c r="A72" s="18"/>
      <c r="B72" s="18"/>
      <c r="C72" s="18"/>
      <c r="D72" s="18"/>
      <c r="E72" s="301">
        <f>E73+0.5%</f>
        <v>6.7132540000000004E-2</v>
      </c>
      <c r="F72" s="307">
        <v>115.80498023091378</v>
      </c>
      <c r="G72" s="309">
        <v>125.47100198803663</v>
      </c>
      <c r="H72" s="309">
        <v>137.18784081487888</v>
      </c>
      <c r="I72" s="309">
        <v>151.68562729568211</v>
      </c>
      <c r="J72" s="308">
        <v>170.08774848690473</v>
      </c>
    </row>
    <row r="73" spans="1:10">
      <c r="A73" s="18"/>
      <c r="B73" s="159" t="s">
        <v>381</v>
      </c>
      <c r="C73" s="19">
        <v>23429</v>
      </c>
      <c r="D73" s="18"/>
      <c r="E73" s="300">
        <v>6.2132540000000007E-2</v>
      </c>
      <c r="F73" s="307">
        <v>127.334912005921</v>
      </c>
      <c r="G73" s="309">
        <v>139.23099714405967</v>
      </c>
      <c r="H73" s="310">
        <v>153.95057337438948</v>
      </c>
      <c r="I73" s="309">
        <v>172.63421353094941</v>
      </c>
      <c r="J73" s="308">
        <v>197.13240807896432</v>
      </c>
    </row>
    <row r="74" spans="1:10">
      <c r="A74" s="18"/>
      <c r="B74" s="159" t="s">
        <v>382</v>
      </c>
      <c r="C74" s="20">
        <v>84552</v>
      </c>
      <c r="D74" s="18"/>
      <c r="E74" s="301">
        <f>E73-0.5%</f>
        <v>5.7132540000000009E-2</v>
      </c>
      <c r="F74" s="307">
        <v>141.31465692439627</v>
      </c>
      <c r="G74" s="309">
        <v>156.26048656355951</v>
      </c>
      <c r="H74" s="309">
        <v>175.23131143309578</v>
      </c>
      <c r="I74" s="309">
        <v>200.10606573663748</v>
      </c>
      <c r="J74" s="308">
        <v>234.14868795949013</v>
      </c>
    </row>
    <row r="75" spans="1:10">
      <c r="A75" s="18"/>
      <c r="B75" s="169" t="s">
        <v>383</v>
      </c>
      <c r="C75" s="13">
        <f>SUM(C73:C74)</f>
        <v>107981</v>
      </c>
      <c r="D75" s="18"/>
      <c r="E75" s="301">
        <f t="shared" ref="E75" si="14">E74-0.5%</f>
        <v>5.2132540000000012E-2</v>
      </c>
      <c r="F75" s="307">
        <v>158.61648333338539</v>
      </c>
      <c r="G75" s="308">
        <v>177.88030030253893</v>
      </c>
      <c r="H75" s="308">
        <v>203.13922907086987</v>
      </c>
      <c r="I75" s="308">
        <v>237.70761753900442</v>
      </c>
      <c r="J75" s="308">
        <v>287.89481363976245</v>
      </c>
    </row>
    <row r="76" spans="1:10">
      <c r="A76" s="18"/>
      <c r="B76" s="159"/>
      <c r="C76" s="18"/>
      <c r="D76" s="18"/>
      <c r="E76" s="301"/>
      <c r="F76" s="18"/>
      <c r="G76" s="18"/>
      <c r="H76" s="18"/>
      <c r="I76" s="18"/>
      <c r="J76" s="18"/>
    </row>
    <row r="77" spans="1:10">
      <c r="A77" s="18"/>
      <c r="B77" s="159" t="s">
        <v>384</v>
      </c>
      <c r="C77" s="19">
        <v>54914</v>
      </c>
      <c r="D77" s="18"/>
      <c r="E77" s="302" t="s">
        <v>249</v>
      </c>
      <c r="F77" s="303"/>
      <c r="G77" s="303"/>
      <c r="H77" s="303"/>
      <c r="I77" s="303"/>
      <c r="J77" s="304" t="s">
        <v>579</v>
      </c>
    </row>
    <row r="78" spans="1:10">
      <c r="A78" s="18"/>
      <c r="B78" s="159" t="s">
        <v>385</v>
      </c>
      <c r="C78" s="20">
        <v>0</v>
      </c>
      <c r="D78" s="18"/>
      <c r="E78" s="245">
        <f ca="1">$C$86</f>
        <v>153.95057337438948</v>
      </c>
      <c r="F78" s="301">
        <f>G78-0.5%</f>
        <v>9.9999999999999985E-3</v>
      </c>
      <c r="G78" s="301">
        <f>H78-0.5%</f>
        <v>1.4999999999999999E-2</v>
      </c>
      <c r="H78" s="300">
        <v>0.02</v>
      </c>
      <c r="I78" s="301">
        <f>H78+0.5%</f>
        <v>2.5000000000000001E-2</v>
      </c>
      <c r="J78" s="301">
        <f>I78+0.5%</f>
        <v>3.0000000000000002E-2</v>
      </c>
    </row>
    <row r="79" spans="1:10">
      <c r="A79" s="18"/>
      <c r="B79" s="169" t="s">
        <v>386</v>
      </c>
      <c r="C79" s="13">
        <f>SUM(C77:C78)</f>
        <v>54914</v>
      </c>
      <c r="D79" s="18"/>
      <c r="E79" s="301">
        <f>E80+0.5%</f>
        <v>7.2132540000000009E-2</v>
      </c>
      <c r="F79" s="311">
        <f>$C$87/F71-1</f>
        <v>1.0855834211958109</v>
      </c>
      <c r="G79" s="312">
        <f t="shared" ref="G79:J79" si="15">$C$87/G71-1</f>
        <v>0.93959017207778128</v>
      </c>
      <c r="H79" s="312">
        <f t="shared" si="15"/>
        <v>0.79023334682571544</v>
      </c>
      <c r="I79" s="312">
        <f t="shared" si="15"/>
        <v>0.63739534932846209</v>
      </c>
      <c r="J79" s="312">
        <f t="shared" si="15"/>
        <v>0.48095303703471171</v>
      </c>
    </row>
    <row r="80" spans="1:10">
      <c r="A80" s="18"/>
      <c r="B80" s="159"/>
      <c r="C80" s="18"/>
      <c r="D80" s="18"/>
      <c r="E80" s="301">
        <f>E81+0.5%</f>
        <v>6.7132540000000004E-2</v>
      </c>
      <c r="F80" s="313">
        <f t="shared" ref="F80:J80" si="16">$C$87/F72-1</f>
        <v>0.91140311546731989</v>
      </c>
      <c r="G80" s="314">
        <f t="shared" si="16"/>
        <v>0.76415264477688005</v>
      </c>
      <c r="H80" s="314">
        <f t="shared" si="16"/>
        <v>0.61348118525088124</v>
      </c>
      <c r="I80" s="314">
        <f t="shared" si="16"/>
        <v>0.45926811884767771</v>
      </c>
      <c r="J80" s="314">
        <f t="shared" si="16"/>
        <v>0.30138708971764649</v>
      </c>
    </row>
    <row r="81" spans="1:10">
      <c r="A81" s="18"/>
      <c r="B81" s="159" t="s">
        <v>387</v>
      </c>
      <c r="C81" s="20">
        <v>0</v>
      </c>
      <c r="D81" s="18"/>
      <c r="E81" s="300">
        <v>6.2132540000000007E-2</v>
      </c>
      <c r="F81" s="313">
        <f t="shared" ref="F81:J81" si="17">$C$87/F73-1</f>
        <v>0.73832923361746494</v>
      </c>
      <c r="G81" s="314">
        <f t="shared" si="17"/>
        <v>0.58980402741045768</v>
      </c>
      <c r="H81" s="314">
        <f t="shared" si="17"/>
        <v>0.43779912700749168</v>
      </c>
      <c r="I81" s="314">
        <f t="shared" si="17"/>
        <v>0.28219079794583668</v>
      </c>
      <c r="J81" s="314">
        <f t="shared" si="17"/>
        <v>0.12284936889390075</v>
      </c>
    </row>
    <row r="82" spans="1:10">
      <c r="A82" s="18"/>
      <c r="B82" s="159" t="s">
        <v>388</v>
      </c>
      <c r="C82" s="20">
        <v>0</v>
      </c>
      <c r="D82" s="18"/>
      <c r="E82" s="301">
        <f>E81-0.5%</f>
        <v>5.7132540000000009E-2</v>
      </c>
      <c r="F82" s="313">
        <f t="shared" ref="F82:J82" si="18">$C$87/F74-1</f>
        <v>0.5663626464339282</v>
      </c>
      <c r="G82" s="314">
        <f t="shared" si="18"/>
        <v>0.41654492999396298</v>
      </c>
      <c r="H82" s="314">
        <f t="shared" si="18"/>
        <v>0.26318748738299869</v>
      </c>
      <c r="I82" s="314">
        <f t="shared" si="18"/>
        <v>0.1061633698366844</v>
      </c>
      <c r="J82" s="314">
        <f t="shared" si="18"/>
        <v>-5.4660515380314356E-2</v>
      </c>
    </row>
    <row r="83" spans="1:10">
      <c r="A83" s="18"/>
      <c r="B83" s="159" t="s">
        <v>396</v>
      </c>
      <c r="C83" s="20">
        <v>0</v>
      </c>
      <c r="D83" s="18"/>
      <c r="E83" s="301">
        <f t="shared" ref="E83" si="19">E82-0.5%</f>
        <v>5.2132540000000012E-2</v>
      </c>
      <c r="F83" s="313">
        <f t="shared" ref="F83:J83" si="20">$C$87/F75-1</f>
        <v>0.39550439745129906</v>
      </c>
      <c r="G83" s="314">
        <f t="shared" si="20"/>
        <v>0.24437613172188133</v>
      </c>
      <c r="H83" s="314">
        <f t="shared" si="20"/>
        <v>8.964674628541025E-2</v>
      </c>
      <c r="I83" s="314">
        <f t="shared" si="20"/>
        <v>-6.8814023329817675E-2</v>
      </c>
      <c r="J83" s="314">
        <f t="shared" si="20"/>
        <v>-0.23114280107535656</v>
      </c>
    </row>
    <row r="84" spans="1:10">
      <c r="A84" s="18"/>
      <c r="B84" s="161" t="s">
        <v>389</v>
      </c>
      <c r="C84" s="172">
        <f ca="1">C71-C75+C79-SUM(C81:C82)+C83</f>
        <v>2085451.2611165163</v>
      </c>
      <c r="D84" s="18"/>
      <c r="E84" s="18"/>
      <c r="F84" s="18"/>
      <c r="G84" s="18"/>
      <c r="H84" s="18"/>
      <c r="I84" s="18"/>
      <c r="J84" s="18"/>
    </row>
    <row r="85" spans="1:10">
      <c r="A85" s="18"/>
      <c r="B85" s="159" t="s">
        <v>390</v>
      </c>
      <c r="C85" s="51">
        <f>WACC!$L$5</f>
        <v>13546.239</v>
      </c>
      <c r="D85" s="18"/>
      <c r="E85" s="18"/>
      <c r="F85" s="18"/>
      <c r="G85" s="18"/>
      <c r="H85" s="18"/>
      <c r="I85" s="18"/>
      <c r="J85" s="18"/>
    </row>
    <row r="86" spans="1:10">
      <c r="A86" s="18"/>
      <c r="B86" s="169" t="s">
        <v>391</v>
      </c>
      <c r="C86" s="173">
        <f ca="1">C84/C85</f>
        <v>153.95057337438948</v>
      </c>
      <c r="D86" s="18"/>
      <c r="E86" s="18"/>
      <c r="F86" s="18"/>
      <c r="G86" s="18"/>
      <c r="H86" s="18"/>
      <c r="I86" s="18"/>
      <c r="J86" s="18"/>
    </row>
    <row r="87" spans="1:10">
      <c r="A87" s="18"/>
      <c r="B87" s="159" t="s">
        <v>584</v>
      </c>
      <c r="C87" s="174">
        <f>WACC!$L$4</f>
        <v>221.35</v>
      </c>
      <c r="D87" s="160" t="s">
        <v>393</v>
      </c>
      <c r="E87" s="18"/>
      <c r="F87" s="18"/>
      <c r="G87" s="18"/>
      <c r="H87" s="18"/>
      <c r="I87" s="18"/>
      <c r="J87" s="18"/>
    </row>
    <row r="88" spans="1:10">
      <c r="A88" s="18"/>
      <c r="B88" s="169" t="s">
        <v>394</v>
      </c>
      <c r="C88" s="175">
        <f ca="1">C87/C86-1</f>
        <v>0.43779912700749168</v>
      </c>
      <c r="D88" s="176" t="s">
        <v>395</v>
      </c>
      <c r="E88" s="18"/>
      <c r="F88" s="177"/>
      <c r="G88" s="18"/>
      <c r="H88" s="18"/>
      <c r="I88" s="18"/>
      <c r="J88" s="18"/>
    </row>
    <row r="90" spans="1:10" outlineLevel="1">
      <c r="B90" t="s">
        <v>229</v>
      </c>
      <c r="C90" s="51">
        <f ca="1">-F30</f>
        <v>47072.171875810389</v>
      </c>
    </row>
    <row r="91" spans="1:10" outlineLevel="1">
      <c r="B91" t="s">
        <v>580</v>
      </c>
      <c r="C91" s="301">
        <f>WACC!F8+(WACC!G8*WACC!H8)</f>
        <v>6.3872000000000012E-2</v>
      </c>
    </row>
    <row r="92" spans="1:10" outlineLevel="1">
      <c r="B92" t="s">
        <v>581</v>
      </c>
      <c r="C92" s="315">
        <f>$D$59</f>
        <v>0.02</v>
      </c>
    </row>
    <row r="93" spans="1:10" outlineLevel="1">
      <c r="B93" s="8" t="s">
        <v>389</v>
      </c>
      <c r="C93" s="172">
        <f ca="1">(C90*(1+C92))/(C91-C92)</f>
        <v>1094402.2454715215</v>
      </c>
    </row>
    <row r="94" spans="1:10" outlineLevel="1">
      <c r="B94" s="159" t="s">
        <v>390</v>
      </c>
      <c r="C94" s="51">
        <f>WACC!$L$5</f>
        <v>13546.239</v>
      </c>
    </row>
    <row r="95" spans="1:10" outlineLevel="1">
      <c r="B95" s="169" t="s">
        <v>391</v>
      </c>
      <c r="C95" s="316">
        <f ca="1">C93/C94</f>
        <v>80.790117867514482</v>
      </c>
    </row>
    <row r="96" spans="1:10" outlineLevel="1">
      <c r="B96" s="159" t="s">
        <v>392</v>
      </c>
      <c r="C96" s="174">
        <f>WACC!$L$4</f>
        <v>221.35</v>
      </c>
      <c r="D96" s="160" t="s">
        <v>393</v>
      </c>
    </row>
    <row r="97" spans="2:4" outlineLevel="1">
      <c r="B97" s="169" t="s">
        <v>394</v>
      </c>
      <c r="C97" s="175">
        <f ca="1">C96/C95-1</f>
        <v>1.7398152873472204</v>
      </c>
      <c r="D97" s="176" t="s">
        <v>395</v>
      </c>
    </row>
    <row r="98" spans="2:4" outlineLevel="1"/>
    <row r="99" spans="2:4" outlineLevel="1">
      <c r="B99" t="s">
        <v>582</v>
      </c>
      <c r="C99" s="317">
        <v>3.76</v>
      </c>
    </row>
    <row r="100" spans="2:4" outlineLevel="1">
      <c r="B100" t="s">
        <v>580</v>
      </c>
      <c r="C100" s="301">
        <f>WACC!F8+(WACC!G8*WACC!H8)</f>
        <v>6.3872000000000012E-2</v>
      </c>
    </row>
    <row r="101" spans="2:4" outlineLevel="1">
      <c r="B101" t="s">
        <v>581</v>
      </c>
      <c r="C101" s="315">
        <f>$D$59</f>
        <v>0.02</v>
      </c>
    </row>
    <row r="102" spans="2:4" outlineLevel="1">
      <c r="B102" s="169" t="s">
        <v>391</v>
      </c>
      <c r="C102" s="316">
        <f>(C99*(1+C101))/(C100-C101)</f>
        <v>87.417943107220992</v>
      </c>
    </row>
    <row r="103" spans="2:4" outlineLevel="1">
      <c r="B103" s="159" t="s">
        <v>392</v>
      </c>
      <c r="C103" s="174">
        <f>WACC!$L$4</f>
        <v>221.35</v>
      </c>
      <c r="D103" s="160" t="s">
        <v>393</v>
      </c>
    </row>
    <row r="104" spans="2:4" outlineLevel="1">
      <c r="B104" s="169" t="s">
        <v>394</v>
      </c>
      <c r="C104" s="175">
        <f>C103/C102-1</f>
        <v>1.5320888610763457</v>
      </c>
      <c r="D104" s="176" t="s">
        <v>395</v>
      </c>
    </row>
  </sheetData>
  <conditionalFormatting sqref="F79:J83">
    <cfRule type="cellIs" dxfId="10" priority="1" operator="between">
      <formula>0</formula>
      <formula>-0.2</formula>
    </cfRule>
    <cfRule type="cellIs" dxfId="9" priority="2" operator="lessThan">
      <formula>-0.2</formula>
    </cfRule>
    <cfRule type="cellIs" dxfId="8" priority="3" operator="greaterThan">
      <formula>0</formula>
    </cfRule>
  </conditionalFormatting>
  <pageMargins left="0.7" right="0.7" top="0.75" bottom="0.75" header="0.3" footer="0.3"/>
  <pageSetup scale="37" orientation="portrait" r:id="rId1"/>
  <ignoredErrors>
    <ignoredError sqref="D60 H63 J63 F65:J66 C71 C86 C84 F67:J67 C87:C88 C96:C97 C103:C104" unlockedFormula="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E806A-F7B6-4A52-83F0-CBE154322593}">
  <dimension ref="A1:F40"/>
  <sheetViews>
    <sheetView topLeftCell="A8" workbookViewId="0">
      <selection activeCell="F42" sqref="F42"/>
    </sheetView>
  </sheetViews>
  <sheetFormatPr baseColWidth="10" defaultColWidth="8.75" defaultRowHeight="14"/>
  <cols>
    <col min="1" max="256" width="8.75" style="111" customWidth="1"/>
    <col min="257" max="16384" width="8.75" style="111"/>
  </cols>
  <sheetData>
    <row r="1" spans="1:5" s="119" customFormat="1" ht="13">
      <c r="A1" s="119" t="s">
        <v>329</v>
      </c>
    </row>
    <row r="2" spans="1:5" s="115" customFormat="1" ht="13">
      <c r="A2" s="115" t="s">
        <v>330</v>
      </c>
      <c r="E2" s="139">
        <v>25</v>
      </c>
    </row>
    <row r="3" spans="1:5" s="126" customFormat="1" ht="13">
      <c r="A3" s="126" t="s">
        <v>331</v>
      </c>
    </row>
    <row r="4" spans="1:5" s="115" customFormat="1" ht="13">
      <c r="A4" s="132" t="s">
        <v>332</v>
      </c>
      <c r="B4" s="132" t="s">
        <v>333</v>
      </c>
      <c r="C4" s="115" t="s">
        <v>334</v>
      </c>
    </row>
    <row r="5" spans="1:5" s="115" customFormat="1" ht="13">
      <c r="A5" s="132">
        <v>1</v>
      </c>
      <c r="B5" s="139">
        <v>24</v>
      </c>
    </row>
    <row r="6" spans="1:5" s="115" customFormat="1" ht="13">
      <c r="A6" s="132">
        <v>2</v>
      </c>
      <c r="B6" s="139">
        <v>22</v>
      </c>
    </row>
    <row r="7" spans="1:5" s="115" customFormat="1" ht="13">
      <c r="A7" s="132">
        <v>3</v>
      </c>
      <c r="B7" s="139">
        <v>22</v>
      </c>
    </row>
    <row r="8" spans="1:5" s="115" customFormat="1" ht="13">
      <c r="A8" s="132">
        <v>4</v>
      </c>
      <c r="B8" s="139">
        <v>21</v>
      </c>
    </row>
    <row r="9" spans="1:5" s="115" customFormat="1" ht="13">
      <c r="A9" s="132">
        <v>5</v>
      </c>
      <c r="B9" s="139">
        <v>20</v>
      </c>
    </row>
    <row r="10" spans="1:5" s="115" customFormat="1" ht="13">
      <c r="A10" s="132" t="s">
        <v>335</v>
      </c>
      <c r="B10" s="139">
        <v>111</v>
      </c>
    </row>
    <row r="11" spans="1:5" s="115" customFormat="1" thickBot="1"/>
    <row r="12" spans="1:5" s="115" customFormat="1" thickBot="1">
      <c r="A12" s="115" t="s">
        <v>336</v>
      </c>
      <c r="C12" s="140">
        <f>'Start here Ratings sheet'!D13</f>
        <v>3.4499999999999996E-2</v>
      </c>
      <c r="D12" s="115" t="s">
        <v>337</v>
      </c>
    </row>
    <row r="13" spans="1:5" s="115" customFormat="1" ht="13"/>
    <row r="14" spans="1:5" s="126" customFormat="1" ht="13">
      <c r="A14" s="126" t="s">
        <v>338</v>
      </c>
    </row>
    <row r="15" spans="1:5" s="115" customFormat="1" ht="13">
      <c r="A15" s="115" t="s">
        <v>339</v>
      </c>
      <c r="D15" s="141">
        <f>'Start here Ratings sheet'!F6</f>
        <v>96351</v>
      </c>
      <c r="E15" s="115" t="s">
        <v>340</v>
      </c>
    </row>
    <row r="16" spans="1:5" s="115" customFormat="1" ht="13">
      <c r="A16" s="115" t="s">
        <v>341</v>
      </c>
      <c r="D16" s="139">
        <v>92.97</v>
      </c>
      <c r="E16" s="115" t="s">
        <v>342</v>
      </c>
    </row>
    <row r="17" spans="1:6" s="115" customFormat="1" ht="13">
      <c r="A17" s="115" t="s">
        <v>343</v>
      </c>
      <c r="D17" s="141">
        <f>'Start here Ratings sheet'!F7</f>
        <v>4287</v>
      </c>
    </row>
    <row r="18" spans="1:6" s="119" customFormat="1" ht="13">
      <c r="A18" s="119" t="s">
        <v>296</v>
      </c>
      <c r="D18" s="142"/>
    </row>
    <row r="19" spans="1:6" s="115" customFormat="1" ht="13">
      <c r="A19" s="115" t="s">
        <v>344</v>
      </c>
      <c r="D19" s="143">
        <f>ROUND(B10/AVERAGE(B5:B9),0)</f>
        <v>5</v>
      </c>
      <c r="E19" s="115" t="s">
        <v>345</v>
      </c>
    </row>
    <row r="20" spans="1:6" s="119" customFormat="1" ht="13">
      <c r="E20" s="115" t="s">
        <v>346</v>
      </c>
    </row>
    <row r="21" spans="1:6" s="126" customFormat="1" ht="13">
      <c r="A21" s="126" t="s">
        <v>347</v>
      </c>
    </row>
    <row r="22" spans="1:6" s="115" customFormat="1" ht="13">
      <c r="A22" s="132" t="s">
        <v>332</v>
      </c>
      <c r="B22" s="132" t="s">
        <v>333</v>
      </c>
      <c r="C22" s="132" t="s">
        <v>348</v>
      </c>
    </row>
    <row r="23" spans="1:6" s="115" customFormat="1" ht="13">
      <c r="A23" s="144">
        <f>A5</f>
        <v>1</v>
      </c>
      <c r="B23" s="145">
        <f>B5</f>
        <v>24</v>
      </c>
      <c r="C23" s="141">
        <f>B23/(1+$C$12)^A23</f>
        <v>23.19961333977767</v>
      </c>
    </row>
    <row r="24" spans="1:6" s="115" customFormat="1" ht="13">
      <c r="A24" s="144">
        <f t="shared" ref="A24:B27" si="0">A6</f>
        <v>2</v>
      </c>
      <c r="B24" s="145">
        <f t="shared" si="0"/>
        <v>22</v>
      </c>
      <c r="C24" s="141">
        <f>B24/(1+$C$12)^A24</f>
        <v>20.55709253564962</v>
      </c>
    </row>
    <row r="25" spans="1:6" s="115" customFormat="1" ht="13">
      <c r="A25" s="144">
        <f t="shared" si="0"/>
        <v>3</v>
      </c>
      <c r="B25" s="145">
        <f t="shared" si="0"/>
        <v>22</v>
      </c>
      <c r="C25" s="141">
        <f>B25/(1+$C$12)^A25</f>
        <v>19.871524925712539</v>
      </c>
    </row>
    <row r="26" spans="1:6" s="115" customFormat="1" ht="13">
      <c r="A26" s="144">
        <f t="shared" si="0"/>
        <v>4</v>
      </c>
      <c r="B26" s="145">
        <f t="shared" si="0"/>
        <v>21</v>
      </c>
      <c r="C26" s="141">
        <f>B26/(1+$C$12)^A26</f>
        <v>18.335692404761339</v>
      </c>
    </row>
    <row r="27" spans="1:6" s="115" customFormat="1" ht="13">
      <c r="A27" s="144">
        <f t="shared" si="0"/>
        <v>5</v>
      </c>
      <c r="B27" s="145">
        <f t="shared" si="0"/>
        <v>20</v>
      </c>
      <c r="C27" s="141">
        <f>B27/(1+$C$12)^A27</f>
        <v>16.880197385220686</v>
      </c>
    </row>
    <row r="28" spans="1:6" s="115" customFormat="1" thickBot="1">
      <c r="A28" s="146" t="str">
        <f>A10</f>
        <v>6 and beyond</v>
      </c>
      <c r="B28" s="147">
        <f>IF(B10&gt;0,IF(D19&gt;1,B10/D19,B10),0)</f>
        <v>22.2</v>
      </c>
      <c r="C28" s="148">
        <f>IF(D19&gt;0,(B28*(1-(1+C12)^(-D19))/C12)/(1+$C$12)^5,B28/(1+C12)^6)</f>
        <v>84.718552425864814</v>
      </c>
      <c r="D28" s="115" t="s">
        <v>349</v>
      </c>
    </row>
    <row r="29" spans="1:6" s="115" customFormat="1" thickBot="1">
      <c r="A29" s="149" t="s">
        <v>350</v>
      </c>
      <c r="B29" s="149"/>
      <c r="C29" s="150">
        <f>SUM(C23:C28)</f>
        <v>183.56267301698665</v>
      </c>
    </row>
    <row r="31" spans="1:6" s="115" customFormat="1" thickBot="1">
      <c r="A31" s="126" t="s">
        <v>351</v>
      </c>
    </row>
    <row r="32" spans="1:6" s="115" customFormat="1" thickBot="1">
      <c r="A32" s="115" t="s">
        <v>352</v>
      </c>
      <c r="F32" s="150">
        <f>D15+E2-C29/(5+D19)</f>
        <v>96357.6437326983</v>
      </c>
    </row>
    <row r="33" spans="1:6" s="115" customFormat="1" thickBot="1">
      <c r="A33" s="115" t="s">
        <v>353</v>
      </c>
      <c r="F33" s="151">
        <f>D16+C29</f>
        <v>276.53267301698668</v>
      </c>
    </row>
    <row r="36" spans="1:6">
      <c r="A36" s="111" t="s">
        <v>354</v>
      </c>
    </row>
    <row r="37" spans="1:6">
      <c r="A37" s="111" t="s">
        <v>355</v>
      </c>
      <c r="D37" s="152">
        <f>D15</f>
        <v>96351</v>
      </c>
    </row>
    <row r="38" spans="1:6">
      <c r="A38" s="111" t="s">
        <v>356</v>
      </c>
      <c r="D38" s="152">
        <f>E2</f>
        <v>25</v>
      </c>
    </row>
    <row r="39" spans="1:6">
      <c r="A39" s="111" t="s">
        <v>357</v>
      </c>
      <c r="D39" s="152">
        <f>C29/(5+D19)</f>
        <v>18.356267301698665</v>
      </c>
    </row>
    <row r="40" spans="1:6">
      <c r="A40" s="111" t="s">
        <v>358</v>
      </c>
      <c r="D40" s="152">
        <f>D37+D38-D39</f>
        <v>96357.6437326983</v>
      </c>
    </row>
  </sheetData>
  <printOptions gridLines="1" gridLinesSet="0"/>
  <pageMargins left="0.75" right="0.75" top="1" bottom="1" header="0.5" footer="0.5"/>
  <pageSetup paperSize="0" orientation="portrait" horizontalDpi="4294967292" verticalDpi="4294967292"/>
  <headerFooter alignWithMargins="0">
    <oddHeader>&amp;A</oddHeader>
    <oddFooter>Page &amp;P</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329A-46A3-4DE1-BF31-ABFD73BC37D0}">
  <sheetPr>
    <pageSetUpPr fitToPage="1"/>
  </sheetPr>
  <dimension ref="A1:V59"/>
  <sheetViews>
    <sheetView zoomScale="130" zoomScaleNormal="130" workbookViewId="0">
      <pane xSplit="1" ySplit="5" topLeftCell="B6" activePane="bottomRight" state="frozen"/>
      <selection pane="topRight"/>
      <selection pane="bottomLeft"/>
      <selection pane="bottomRight" activeCell="B6" sqref="B6"/>
    </sheetView>
  </sheetViews>
  <sheetFormatPr baseColWidth="10" defaultColWidth="8.75" defaultRowHeight="14" outlineLevelRow="1" outlineLevelCol="1"/>
  <cols>
    <col min="1" max="1" width="20.75" style="186" bestFit="1" customWidth="1"/>
    <col min="2" max="2" width="14.75" style="186" bestFit="1" customWidth="1"/>
    <col min="3" max="3" width="8.75" style="186"/>
    <col min="4" max="4" width="2.875" style="186" customWidth="1"/>
    <col min="5" max="5" width="18.875" style="186" bestFit="1" customWidth="1"/>
    <col min="6" max="6" width="8.75" style="186"/>
    <col min="7" max="7" width="2.875" style="186" customWidth="1"/>
    <col min="8" max="8" width="16.25" style="186" bestFit="1" customWidth="1"/>
    <col min="9" max="9" width="6.875" style="186" customWidth="1"/>
    <col min="10" max="10" width="2.875" style="186" customWidth="1"/>
    <col min="11" max="11" width="13.375" style="186" hidden="1" customWidth="1" outlineLevel="1"/>
    <col min="12" max="12" width="14" style="186" hidden="1" customWidth="1" outlineLevel="1"/>
    <col min="13" max="13" width="14.625" style="186" hidden="1" customWidth="1" outlineLevel="1"/>
    <col min="14" max="14" width="16.25" style="186" hidden="1" customWidth="1" outlineLevel="1"/>
    <col min="15" max="15" width="13.625" style="186" hidden="1" customWidth="1" outlineLevel="1"/>
    <col min="16" max="16" width="8.75" style="186" collapsed="1"/>
    <col min="17" max="20" width="8.75" style="186" hidden="1" customWidth="1" outlineLevel="1"/>
    <col min="21" max="21" width="0" style="186" hidden="1" customWidth="1" outlineLevel="1"/>
    <col min="22" max="22" width="8.75" style="186" collapsed="1"/>
    <col min="23" max="16384" width="8.75" style="186"/>
  </cols>
  <sheetData>
    <row r="1" spans="1:19" ht="30">
      <c r="A1" s="184" t="s">
        <v>400</v>
      </c>
      <c r="B1" s="185"/>
      <c r="C1" s="185"/>
      <c r="D1" s="185"/>
      <c r="E1" s="185"/>
      <c r="F1" s="185"/>
      <c r="G1" s="185"/>
      <c r="H1" s="185"/>
      <c r="I1" s="185"/>
      <c r="J1" s="185"/>
      <c r="K1" s="185"/>
      <c r="L1" s="185"/>
      <c r="M1" s="185"/>
      <c r="N1" s="185"/>
      <c r="O1" s="185"/>
    </row>
    <row r="2" spans="1:19">
      <c r="A2" s="187" t="s">
        <v>401</v>
      </c>
    </row>
    <row r="4" spans="1:19">
      <c r="A4" s="186" t="s">
        <v>402</v>
      </c>
      <c r="B4" s="188" t="s">
        <v>403</v>
      </c>
      <c r="E4" s="188" t="s">
        <v>263</v>
      </c>
      <c r="H4" s="188" t="s">
        <v>264</v>
      </c>
    </row>
    <row r="5" spans="1:19">
      <c r="A5" s="186" t="s">
        <v>404</v>
      </c>
      <c r="B5" s="188" t="s">
        <v>405</v>
      </c>
      <c r="E5" s="188" t="s">
        <v>406</v>
      </c>
      <c r="H5" s="188" t="s">
        <v>407</v>
      </c>
    </row>
    <row r="6" spans="1:19">
      <c r="K6" s="189" t="s">
        <v>408</v>
      </c>
      <c r="S6" s="200" t="s">
        <v>500</v>
      </c>
    </row>
    <row r="7" spans="1:19">
      <c r="A7" s="186" t="s">
        <v>578</v>
      </c>
      <c r="B7" s="190">
        <v>221.35</v>
      </c>
      <c r="E7" s="190">
        <v>103.77</v>
      </c>
      <c r="H7" s="190">
        <v>140.9</v>
      </c>
      <c r="K7" s="186" t="s">
        <v>409</v>
      </c>
      <c r="L7" s="186" t="s">
        <v>410</v>
      </c>
      <c r="M7" s="186" t="s">
        <v>254</v>
      </c>
      <c r="N7" s="186" t="s">
        <v>411</v>
      </c>
      <c r="O7" s="186" t="s">
        <v>412</v>
      </c>
      <c r="Q7" s="9" t="s">
        <v>415</v>
      </c>
      <c r="R7" s="9" t="s">
        <v>499</v>
      </c>
      <c r="S7" s="200" t="s">
        <v>501</v>
      </c>
    </row>
    <row r="8" spans="1:19">
      <c r="K8" s="186" t="s">
        <v>413</v>
      </c>
      <c r="L8" s="186" t="s">
        <v>414</v>
      </c>
      <c r="M8" s="186" t="s">
        <v>415</v>
      </c>
      <c r="N8" s="186" t="s">
        <v>416</v>
      </c>
      <c r="O8" s="186" t="s">
        <v>417</v>
      </c>
      <c r="Q8" s="238">
        <v>100</v>
      </c>
      <c r="R8" s="238">
        <v>50</v>
      </c>
      <c r="S8" s="239">
        <f>Q8-R8</f>
        <v>50</v>
      </c>
    </row>
    <row r="9" spans="1:19">
      <c r="A9" s="186" t="s">
        <v>418</v>
      </c>
      <c r="B9" s="191">
        <v>13546.239</v>
      </c>
      <c r="E9" s="191">
        <v>245969.88099999999</v>
      </c>
      <c r="H9" s="191">
        <v>123189.867</v>
      </c>
      <c r="K9" s="192">
        <v>0</v>
      </c>
      <c r="L9" s="190">
        <v>0</v>
      </c>
      <c r="M9" s="193">
        <f>B7</f>
        <v>221.35</v>
      </c>
      <c r="N9" s="188" t="str">
        <f>IF(M9&gt;L9,"YES","NO")</f>
        <v>YES</v>
      </c>
      <c r="O9" s="186">
        <f>IF(N9="YES",((M9-L9)/M9)*K9,0)</f>
        <v>0</v>
      </c>
    </row>
    <row r="10" spans="1:19">
      <c r="A10" s="186" t="s">
        <v>419</v>
      </c>
      <c r="B10" s="194">
        <f>O9</f>
        <v>0</v>
      </c>
      <c r="E10" s="194">
        <f>O20</f>
        <v>1688.2239568275991</v>
      </c>
      <c r="H10" s="194">
        <f>O26</f>
        <v>0</v>
      </c>
      <c r="Q10" s="200" t="s">
        <v>500</v>
      </c>
      <c r="S10" s="200" t="s">
        <v>502</v>
      </c>
    </row>
    <row r="11" spans="1:19">
      <c r="A11" s="195" t="s">
        <v>252</v>
      </c>
      <c r="B11" s="196">
        <f>SUM(B9:B10)</f>
        <v>13546.239</v>
      </c>
      <c r="E11" s="196">
        <f>SUM(E9:E10)</f>
        <v>247658.10495682759</v>
      </c>
      <c r="H11" s="196">
        <f>SUM(H9:H10)</f>
        <v>123189.867</v>
      </c>
      <c r="K11" s="187" t="s">
        <v>420</v>
      </c>
      <c r="Q11" s="200" t="s">
        <v>501</v>
      </c>
      <c r="R11" s="9" t="s">
        <v>415</v>
      </c>
      <c r="S11" s="200" t="s">
        <v>503</v>
      </c>
    </row>
    <row r="12" spans="1:19">
      <c r="Q12" s="193">
        <f>S8</f>
        <v>50</v>
      </c>
      <c r="R12" s="193">
        <f>Q8</f>
        <v>100</v>
      </c>
      <c r="S12" s="195">
        <f>Q12/R12</f>
        <v>0.5</v>
      </c>
    </row>
    <row r="13" spans="1:19">
      <c r="A13" s="195" t="s">
        <v>421</v>
      </c>
      <c r="B13" s="197">
        <f>B7*B11</f>
        <v>2998460.0026499997</v>
      </c>
      <c r="E13" s="197">
        <f>E7*E11</f>
        <v>25699481.551369999</v>
      </c>
      <c r="H13" s="197">
        <f>H7*H11</f>
        <v>17357452.260299999</v>
      </c>
      <c r="K13" s="189" t="s">
        <v>422</v>
      </c>
    </row>
    <row r="14" spans="1:19">
      <c r="K14" s="186" t="s">
        <v>409</v>
      </c>
      <c r="L14" s="186" t="s">
        <v>410</v>
      </c>
      <c r="M14" s="186" t="s">
        <v>254</v>
      </c>
      <c r="N14" s="186" t="s">
        <v>411</v>
      </c>
      <c r="O14" s="186" t="s">
        <v>412</v>
      </c>
      <c r="Q14" s="200" t="s">
        <v>506</v>
      </c>
      <c r="R14" s="200" t="s">
        <v>502</v>
      </c>
      <c r="S14" s="200" t="s">
        <v>504</v>
      </c>
    </row>
    <row r="15" spans="1:19">
      <c r="A15" s="186" t="s">
        <v>205</v>
      </c>
      <c r="B15" s="198">
        <f>23429+84552</f>
        <v>107981</v>
      </c>
      <c r="E15" s="19">
        <f>2204.6*1000</f>
        <v>2204600</v>
      </c>
      <c r="H15" s="198">
        <f>(189+2483)*1000</f>
        <v>2672000</v>
      </c>
      <c r="K15" s="186" t="s">
        <v>413</v>
      </c>
      <c r="L15" s="186" t="s">
        <v>414</v>
      </c>
      <c r="M15" s="186" t="s">
        <v>415</v>
      </c>
      <c r="N15" s="186" t="s">
        <v>416</v>
      </c>
      <c r="O15" s="186" t="s">
        <v>417</v>
      </c>
      <c r="Q15" s="200" t="s">
        <v>507</v>
      </c>
      <c r="R15" s="200" t="s">
        <v>503</v>
      </c>
      <c r="S15" s="200" t="s">
        <v>505</v>
      </c>
    </row>
    <row r="16" spans="1:19">
      <c r="A16" s="186" t="s">
        <v>423</v>
      </c>
      <c r="B16" s="20">
        <v>54914</v>
      </c>
      <c r="E16" s="20">
        <f>964.1*1000</f>
        <v>964100</v>
      </c>
      <c r="H16" s="191">
        <f>290*1000</f>
        <v>290000</v>
      </c>
      <c r="K16" s="191">
        <v>500</v>
      </c>
      <c r="L16" s="190">
        <v>46.72</v>
      </c>
      <c r="M16" s="193">
        <f>$E$7</f>
        <v>103.77</v>
      </c>
      <c r="N16" s="188" t="str">
        <f>IF(M16&gt;L16,"YES","NO")</f>
        <v>YES</v>
      </c>
      <c r="O16" s="199">
        <f>IF(N16="YES",((M16-L16)/M16)*K16,0)</f>
        <v>274.88676881564999</v>
      </c>
      <c r="Q16" s="191">
        <v>1000</v>
      </c>
      <c r="R16" s="240">
        <f>S12</f>
        <v>0.5</v>
      </c>
      <c r="S16" s="195">
        <f>Q16*R16</f>
        <v>500</v>
      </c>
    </row>
    <row r="17" spans="1:21">
      <c r="A17" s="195" t="s">
        <v>424</v>
      </c>
      <c r="B17" s="197">
        <f>B15-B16</f>
        <v>53067</v>
      </c>
      <c r="E17" s="197">
        <f>E15-E16</f>
        <v>1240500</v>
      </c>
      <c r="H17" s="197">
        <f>H15-H16</f>
        <v>2382000</v>
      </c>
      <c r="K17" s="191">
        <v>1200</v>
      </c>
      <c r="L17" s="190">
        <v>51.31</v>
      </c>
      <c r="M17" s="193">
        <f t="shared" ref="M17:M19" si="0">$E$7</f>
        <v>103.77</v>
      </c>
      <c r="N17" s="188" t="str">
        <f t="shared" ref="N17:N19" si="1">IF(M17&gt;L17,"YES","NO")</f>
        <v>YES</v>
      </c>
      <c r="O17" s="199">
        <f t="shared" ref="O17:O19" si="2">IF(N17="YES",((M17-L17)/M17)*K17,0)</f>
        <v>606.6493206128938</v>
      </c>
    </row>
    <row r="18" spans="1:21">
      <c r="K18" s="191">
        <v>2200</v>
      </c>
      <c r="L18" s="190">
        <v>75.31</v>
      </c>
      <c r="M18" s="193">
        <f t="shared" si="0"/>
        <v>103.77</v>
      </c>
      <c r="N18" s="188" t="str">
        <f t="shared" si="1"/>
        <v>YES</v>
      </c>
      <c r="O18" s="199">
        <f t="shared" si="2"/>
        <v>603.37284378914887</v>
      </c>
    </row>
    <row r="19" spans="1:21">
      <c r="A19" s="186" t="s">
        <v>425</v>
      </c>
      <c r="B19" s="191">
        <v>0</v>
      </c>
      <c r="E19" s="191">
        <v>0</v>
      </c>
      <c r="H19" s="191">
        <v>0</v>
      </c>
      <c r="K19" s="191">
        <v>1100</v>
      </c>
      <c r="L19" s="190">
        <v>84.59</v>
      </c>
      <c r="M19" s="193">
        <f t="shared" si="0"/>
        <v>103.77</v>
      </c>
      <c r="N19" s="188" t="str">
        <f t="shared" si="1"/>
        <v>YES</v>
      </c>
      <c r="O19" s="199">
        <f t="shared" si="2"/>
        <v>203.31502360990646</v>
      </c>
    </row>
    <row r="20" spans="1:21">
      <c r="A20" s="186" t="s">
        <v>388</v>
      </c>
      <c r="B20" s="191">
        <v>0</v>
      </c>
      <c r="E20" s="191">
        <v>0</v>
      </c>
      <c r="H20" s="191">
        <f>162*1000</f>
        <v>162000</v>
      </c>
      <c r="N20" s="243" t="s">
        <v>515</v>
      </c>
      <c r="O20" s="294">
        <f>SUM(O16:O19)</f>
        <v>1688.2239568275991</v>
      </c>
    </row>
    <row r="21" spans="1:21">
      <c r="A21" s="186" t="s">
        <v>396</v>
      </c>
      <c r="B21" s="191">
        <v>0</v>
      </c>
      <c r="E21" s="191">
        <f>11.1*1000</f>
        <v>11100</v>
      </c>
      <c r="H21" s="191">
        <v>0</v>
      </c>
      <c r="K21" s="187" t="s">
        <v>516</v>
      </c>
    </row>
    <row r="22" spans="1:21">
      <c r="A22" s="195" t="s">
        <v>426</v>
      </c>
      <c r="B22" s="197">
        <f>B13+B17+SUM(B19:B20)-B21</f>
        <v>3051527.0026499997</v>
      </c>
      <c r="E22" s="197">
        <f>E13+E17+SUM(E19:E20)-E21</f>
        <v>26928881.551369999</v>
      </c>
      <c r="H22" s="197">
        <f>H13+H17+SUM(H19:H20)-H21</f>
        <v>19901452.260299999</v>
      </c>
    </row>
    <row r="23" spans="1:21">
      <c r="K23" s="189" t="s">
        <v>427</v>
      </c>
    </row>
    <row r="24" spans="1:21">
      <c r="A24" s="195" t="s">
        <v>428</v>
      </c>
      <c r="B24" s="200"/>
      <c r="C24" s="200"/>
      <c r="E24" s="200"/>
      <c r="F24" s="200"/>
      <c r="H24" s="200"/>
      <c r="I24" s="200"/>
      <c r="K24" s="186" t="s">
        <v>409</v>
      </c>
      <c r="L24" s="186" t="s">
        <v>410</v>
      </c>
      <c r="M24" s="186" t="s">
        <v>254</v>
      </c>
      <c r="N24" s="186" t="s">
        <v>411</v>
      </c>
      <c r="O24" s="186" t="s">
        <v>412</v>
      </c>
    </row>
    <row r="25" spans="1:21">
      <c r="A25" s="186" t="s">
        <v>429</v>
      </c>
      <c r="B25" s="201">
        <f>O33</f>
        <v>603636</v>
      </c>
      <c r="C25" s="202">
        <f>$B$13/B25</f>
        <v>4.967331310011331</v>
      </c>
      <c r="E25" s="211">
        <f>6107.1*1000</f>
        <v>6107100</v>
      </c>
      <c r="F25" s="202">
        <f>$E$13/E25</f>
        <v>4.2081317730788754</v>
      </c>
      <c r="H25" s="201">
        <f>O48</f>
        <v>7165000</v>
      </c>
      <c r="I25" s="202">
        <f>$H$13/H25</f>
        <v>2.4225334627076065</v>
      </c>
      <c r="K25" s="186" t="s">
        <v>413</v>
      </c>
      <c r="L25" s="186" t="s">
        <v>414</v>
      </c>
      <c r="M25" s="186" t="s">
        <v>415</v>
      </c>
      <c r="N25" s="186" t="s">
        <v>416</v>
      </c>
      <c r="O25" s="186" t="s">
        <v>417</v>
      </c>
    </row>
    <row r="26" spans="1:21">
      <c r="A26" s="186" t="s">
        <v>430</v>
      </c>
      <c r="B26" s="203">
        <f>N33*4</f>
        <v>613980</v>
      </c>
      <c r="C26" s="202">
        <f>$B$13/B26</f>
        <v>4.8836444227010647</v>
      </c>
      <c r="E26" s="203"/>
      <c r="F26" s="202"/>
      <c r="H26" s="203">
        <f>N48*2</f>
        <v>6896000</v>
      </c>
      <c r="I26" s="202">
        <f>$H$13/H26</f>
        <v>2.517031940298724</v>
      </c>
      <c r="K26" s="20">
        <v>3052</v>
      </c>
      <c r="L26" s="107">
        <v>148</v>
      </c>
      <c r="M26" s="245">
        <f>H7</f>
        <v>140.9</v>
      </c>
      <c r="N26" s="246" t="str">
        <f>IF(M26&gt;L26,"YES","NO")</f>
        <v>NO</v>
      </c>
      <c r="O26" s="52">
        <f>IF(N26="YES",((M26-L26)/M26*K26),0)</f>
        <v>0</v>
      </c>
    </row>
    <row r="27" spans="1:21">
      <c r="C27" s="195"/>
      <c r="F27" s="195"/>
      <c r="I27" s="195"/>
      <c r="K27" s="18"/>
      <c r="L27" s="18"/>
      <c r="M27" s="18"/>
      <c r="N27" s="18"/>
      <c r="O27" s="18"/>
    </row>
    <row r="28" spans="1:21">
      <c r="A28" s="195" t="s">
        <v>431</v>
      </c>
      <c r="C28" s="195"/>
      <c r="F28" s="195"/>
      <c r="I28" s="195"/>
      <c r="K28" s="6" t="s">
        <v>519</v>
      </c>
      <c r="L28" s="18"/>
      <c r="M28" s="18"/>
      <c r="N28" s="18"/>
      <c r="O28" s="18"/>
    </row>
    <row r="29" spans="1:21">
      <c r="A29" s="186" t="s">
        <v>429</v>
      </c>
      <c r="B29" s="201">
        <f>O36</f>
        <v>106559</v>
      </c>
      <c r="C29" s="202">
        <f>$B$22/B29</f>
        <v>28.636971092540279</v>
      </c>
      <c r="E29" s="198">
        <f>(807.1+357.1+83.2+155.9)*1000</f>
        <v>1403300.0000000002</v>
      </c>
      <c r="F29" s="202">
        <f>$E$22/E29</f>
        <v>19.189682570633501</v>
      </c>
      <c r="H29" s="201">
        <f>O53</f>
        <v>1289000</v>
      </c>
      <c r="I29" s="202">
        <f>$H$22/H29</f>
        <v>15.439450938944917</v>
      </c>
    </row>
    <row r="30" spans="1:21">
      <c r="A30" s="186" t="s">
        <v>430</v>
      </c>
      <c r="B30" s="203">
        <f>N36*4</f>
        <v>108788</v>
      </c>
      <c r="C30" s="202">
        <f>$B$22/B30</f>
        <v>28.050216960050737</v>
      </c>
      <c r="E30" s="199"/>
      <c r="F30" s="202"/>
      <c r="H30" s="199">
        <f>N53*2</f>
        <v>1274000</v>
      </c>
      <c r="I30" s="202">
        <f>$H$22/H30</f>
        <v>15.621234113265306</v>
      </c>
      <c r="K30" s="189" t="s">
        <v>432</v>
      </c>
    </row>
    <row r="31" spans="1:21">
      <c r="C31" s="195"/>
      <c r="F31" s="195"/>
      <c r="I31" s="195"/>
      <c r="L31" s="200" t="s">
        <v>433</v>
      </c>
      <c r="M31" s="200" t="s">
        <v>369</v>
      </c>
      <c r="N31" s="200" t="s">
        <v>433</v>
      </c>
    </row>
    <row r="32" spans="1:21">
      <c r="A32" s="195" t="s">
        <v>434</v>
      </c>
      <c r="C32" s="195"/>
      <c r="F32" s="195"/>
      <c r="I32" s="195"/>
      <c r="L32" s="204">
        <v>45260</v>
      </c>
      <c r="M32" s="204">
        <v>45535</v>
      </c>
      <c r="N32" s="204">
        <v>45626</v>
      </c>
      <c r="O32" s="200" t="s">
        <v>429</v>
      </c>
      <c r="U32" s="241" t="s">
        <v>512</v>
      </c>
    </row>
    <row r="33" spans="1:22">
      <c r="A33" s="186" t="s">
        <v>429</v>
      </c>
      <c r="B33" s="201">
        <f>O37</f>
        <v>71087</v>
      </c>
      <c r="C33" s="202">
        <f>$B$13/B33</f>
        <v>42.18014549284679</v>
      </c>
      <c r="E33" s="211">
        <f>585.3*1000</f>
        <v>585300</v>
      </c>
      <c r="F33" s="202">
        <f>$E$13/E33</f>
        <v>43.908220658414486</v>
      </c>
      <c r="H33" s="201">
        <f>O54</f>
        <v>457000</v>
      </c>
      <c r="I33" s="202">
        <f>$H$13/H33</f>
        <v>37.98129597439825</v>
      </c>
      <c r="K33" s="186" t="s">
        <v>435</v>
      </c>
      <c r="L33" s="211">
        <v>140416</v>
      </c>
      <c r="M33" s="201">
        <f>'Income Statement'!M6</f>
        <v>590557</v>
      </c>
      <c r="N33" s="211">
        <v>153495</v>
      </c>
      <c r="O33" s="205">
        <f>N33+M33-L33</f>
        <v>603636</v>
      </c>
      <c r="Q33" s="242" t="s">
        <v>508</v>
      </c>
      <c r="R33" s="241" t="s">
        <v>509</v>
      </c>
      <c r="S33" s="241" t="s">
        <v>510</v>
      </c>
      <c r="T33" s="241" t="s">
        <v>511</v>
      </c>
    </row>
    <row r="34" spans="1:22">
      <c r="A34" s="186" t="s">
        <v>430</v>
      </c>
      <c r="B34" s="203">
        <f>N37*4</f>
        <v>75700</v>
      </c>
      <c r="C34" s="202">
        <f>$B$13/B34</f>
        <v>39.609775464332891</v>
      </c>
      <c r="E34" s="203"/>
      <c r="F34" s="202"/>
      <c r="H34" s="203">
        <f>N54*2</f>
        <v>584000</v>
      </c>
      <c r="I34" s="202">
        <f>$H$13/H34</f>
        <v>29.721664829280822</v>
      </c>
      <c r="K34" s="186" t="s">
        <v>436</v>
      </c>
      <c r="L34" s="191">
        <v>24184</v>
      </c>
      <c r="M34" s="194">
        <f>'Income Statement'!$M$14</f>
        <v>96351</v>
      </c>
      <c r="N34" s="191">
        <v>25122</v>
      </c>
      <c r="O34" s="199">
        <f>N34+M34-L34</f>
        <v>97289</v>
      </c>
    </row>
    <row r="35" spans="1:22">
      <c r="C35" s="195"/>
      <c r="F35" s="195"/>
      <c r="I35" s="195"/>
      <c r="K35" s="186" t="s">
        <v>437</v>
      </c>
      <c r="L35" s="191">
        <v>2261</v>
      </c>
      <c r="M35" s="203">
        <f>SUM('Income Statement'!M12:M13)</f>
        <v>9456</v>
      </c>
      <c r="N35" s="191">
        <v>2075</v>
      </c>
      <c r="O35" s="199">
        <f>N35+M35-L35</f>
        <v>9270</v>
      </c>
    </row>
    <row r="36" spans="1:22" hidden="1" outlineLevel="1">
      <c r="A36" s="195" t="s">
        <v>438</v>
      </c>
      <c r="C36" s="195"/>
      <c r="F36" s="195"/>
      <c r="I36" s="195"/>
      <c r="K36" s="206" t="s">
        <v>63</v>
      </c>
      <c r="L36" s="207">
        <f>SUM(L34:L35)</f>
        <v>26445</v>
      </c>
      <c r="M36" s="207">
        <f>SUM(M34:M35)</f>
        <v>105807</v>
      </c>
      <c r="N36" s="207">
        <f>SUM(N34:N35)</f>
        <v>27197</v>
      </c>
      <c r="O36" s="207">
        <f>SUM(O34:O35)</f>
        <v>106559</v>
      </c>
      <c r="U36" s="241" t="s">
        <v>512</v>
      </c>
      <c r="V36" s="241" t="s">
        <v>513</v>
      </c>
    </row>
    <row r="37" spans="1:22" hidden="1" outlineLevel="1">
      <c r="A37" s="186" t="s">
        <v>429</v>
      </c>
      <c r="B37" s="201">
        <f>O38</f>
        <v>4111</v>
      </c>
      <c r="C37" s="195"/>
      <c r="E37" s="211">
        <f>179.8*1000</f>
        <v>179800</v>
      </c>
      <c r="F37" s="195"/>
      <c r="H37" s="201">
        <f>O55</f>
        <v>228000</v>
      </c>
      <c r="I37" s="195"/>
      <c r="K37" s="186" t="s">
        <v>131</v>
      </c>
      <c r="L37" s="191">
        <v>17482</v>
      </c>
      <c r="M37" s="194">
        <f>'Income Statement'!$M$20</f>
        <v>69644</v>
      </c>
      <c r="N37" s="191">
        <v>18925</v>
      </c>
      <c r="O37" s="199">
        <f>N37+M37-L37</f>
        <v>71087</v>
      </c>
      <c r="Q37" s="242" t="s">
        <v>508</v>
      </c>
      <c r="R37" s="242" t="s">
        <v>509</v>
      </c>
      <c r="S37" s="241" t="s">
        <v>510</v>
      </c>
      <c r="T37" s="241" t="s">
        <v>511</v>
      </c>
    </row>
    <row r="38" spans="1:22" hidden="1" outlineLevel="1">
      <c r="A38" s="186" t="s">
        <v>430</v>
      </c>
      <c r="B38" s="203">
        <f>N38*4</f>
        <v>2764</v>
      </c>
      <c r="C38" s="195"/>
      <c r="E38" s="203"/>
      <c r="F38" s="195"/>
      <c r="H38" s="203">
        <f>N55*2</f>
        <v>184000</v>
      </c>
      <c r="I38" s="195"/>
      <c r="K38" s="186" t="s">
        <v>438</v>
      </c>
      <c r="L38" s="191">
        <v>786</v>
      </c>
      <c r="M38" s="194">
        <f>Calcs!$M$20</f>
        <v>4206</v>
      </c>
      <c r="N38" s="191">
        <v>691</v>
      </c>
      <c r="O38" s="199">
        <f>N38+M38-L38</f>
        <v>4111</v>
      </c>
    </row>
    <row r="39" spans="1:22" hidden="1" outlineLevel="1">
      <c r="C39" s="195"/>
      <c r="F39" s="195"/>
      <c r="I39" s="195"/>
      <c r="K39" s="206" t="s">
        <v>439</v>
      </c>
      <c r="L39" s="208">
        <f>L36-L38</f>
        <v>25659</v>
      </c>
      <c r="M39" s="208">
        <f>M36-M38</f>
        <v>101601</v>
      </c>
      <c r="N39" s="208">
        <f>N36-N38</f>
        <v>26506</v>
      </c>
      <c r="O39" s="208">
        <f>O36-O38</f>
        <v>102448</v>
      </c>
    </row>
    <row r="40" spans="1:22" collapsed="1">
      <c r="A40" s="195" t="s">
        <v>440</v>
      </c>
      <c r="C40" s="195"/>
      <c r="F40" s="195"/>
      <c r="I40" s="195"/>
    </row>
    <row r="41" spans="1:22">
      <c r="A41" s="186" t="s">
        <v>429</v>
      </c>
      <c r="B41" s="205">
        <f>B29-B37</f>
        <v>102448</v>
      </c>
      <c r="C41" s="202">
        <f>$B$22/B41</f>
        <v>29.786106147997028</v>
      </c>
      <c r="E41" s="205">
        <f>E29-E37</f>
        <v>1223500.0000000002</v>
      </c>
      <c r="F41" s="202">
        <f>$E$13/E41</f>
        <v>21.004888885467913</v>
      </c>
      <c r="H41" s="205">
        <f>H29-H37</f>
        <v>1061000</v>
      </c>
      <c r="I41" s="202">
        <f>$H$13/H41</f>
        <v>16.359521451743639</v>
      </c>
      <c r="K41" s="186" t="s">
        <v>441</v>
      </c>
    </row>
    <row r="42" spans="1:22">
      <c r="A42" s="186" t="s">
        <v>430</v>
      </c>
      <c r="B42" s="199">
        <f>B30-B38</f>
        <v>106024</v>
      </c>
      <c r="C42" s="202">
        <f>$B$22/B42</f>
        <v>28.781474030879799</v>
      </c>
      <c r="E42" s="199"/>
      <c r="F42" s="202"/>
      <c r="H42" s="199">
        <f>H30-H38</f>
        <v>1090000</v>
      </c>
      <c r="I42" s="202">
        <f>$H$13/H42</f>
        <v>15.924268128715596</v>
      </c>
      <c r="K42" s="187" t="s">
        <v>514</v>
      </c>
    </row>
    <row r="43" spans="1:22">
      <c r="K43" s="187" t="s">
        <v>442</v>
      </c>
    </row>
    <row r="44" spans="1:22">
      <c r="A44" s="186" t="s">
        <v>591</v>
      </c>
    </row>
    <row r="45" spans="1:22">
      <c r="A45" s="187" t="s">
        <v>443</v>
      </c>
      <c r="K45" s="209" t="s">
        <v>444</v>
      </c>
    </row>
    <row r="46" spans="1:22">
      <c r="L46" s="200" t="s">
        <v>445</v>
      </c>
      <c r="M46" s="200" t="s">
        <v>369</v>
      </c>
      <c r="N46" s="200" t="s">
        <v>445</v>
      </c>
    </row>
    <row r="47" spans="1:22">
      <c r="L47" s="204">
        <v>45291</v>
      </c>
      <c r="M47" s="204">
        <v>45473</v>
      </c>
      <c r="N47" s="204">
        <v>45657</v>
      </c>
      <c r="O47" s="210" t="s">
        <v>429</v>
      </c>
    </row>
    <row r="48" spans="1:22">
      <c r="K48" s="186" t="s">
        <v>435</v>
      </c>
      <c r="L48" s="19">
        <f>3376*1000</f>
        <v>3376000</v>
      </c>
      <c r="M48" s="19">
        <f>7093*1000</f>
        <v>7093000</v>
      </c>
      <c r="N48" s="19">
        <f>3448*1000</f>
        <v>3448000</v>
      </c>
      <c r="O48" s="205">
        <f>N48+M48-L48</f>
        <v>7165000</v>
      </c>
    </row>
    <row r="49" spans="11:15">
      <c r="K49" s="186" t="s">
        <v>446</v>
      </c>
      <c r="L49" s="20">
        <f>165*1000</f>
        <v>165000</v>
      </c>
      <c r="M49" s="20">
        <f>398*1000</f>
        <v>398000</v>
      </c>
      <c r="N49" s="20">
        <f>414*1000</f>
        <v>414000</v>
      </c>
      <c r="O49" s="199">
        <f>N49+M49-L49</f>
        <v>647000</v>
      </c>
    </row>
    <row r="50" spans="11:15">
      <c r="K50" s="186" t="s">
        <v>46</v>
      </c>
      <c r="L50" s="20">
        <f>47*1000</f>
        <v>47000</v>
      </c>
      <c r="M50" s="20">
        <f>90*1000</f>
        <v>90000</v>
      </c>
      <c r="N50" s="20">
        <f>43*1000</f>
        <v>43000</v>
      </c>
      <c r="O50" s="199">
        <f>N50+M50-L50</f>
        <v>86000</v>
      </c>
    </row>
    <row r="51" spans="11:15">
      <c r="K51" s="186" t="s">
        <v>447</v>
      </c>
      <c r="L51" s="244">
        <f>(171+5)*1000</f>
        <v>176000</v>
      </c>
      <c r="M51" s="244">
        <f>(24+171+240)*1000</f>
        <v>435000</v>
      </c>
      <c r="N51" s="244">
        <f>(-45+118)*1000</f>
        <v>73000</v>
      </c>
      <c r="O51" s="199">
        <f>N51+M51-L51</f>
        <v>332000</v>
      </c>
    </row>
    <row r="52" spans="11:15">
      <c r="K52" s="186" t="s">
        <v>437</v>
      </c>
      <c r="L52" s="20">
        <f>118*1000</f>
        <v>118000</v>
      </c>
      <c r="M52" s="20">
        <f>(235)*1000</f>
        <v>235000</v>
      </c>
      <c r="N52" s="20">
        <f>107*1000</f>
        <v>107000</v>
      </c>
      <c r="O52" s="199">
        <f>N52+M52-L52</f>
        <v>224000</v>
      </c>
    </row>
    <row r="53" spans="11:15">
      <c r="K53" s="206" t="s">
        <v>63</v>
      </c>
      <c r="L53" s="78">
        <f>SUM(L49:L52)</f>
        <v>506000</v>
      </c>
      <c r="M53" s="78">
        <f>SUM(M49:M52)</f>
        <v>1158000</v>
      </c>
      <c r="N53" s="78">
        <f>SUM(N49:N52)</f>
        <v>637000</v>
      </c>
      <c r="O53" s="207">
        <f>SUM(O49:O52)</f>
        <v>1289000</v>
      </c>
    </row>
    <row r="54" spans="11:15">
      <c r="K54" s="186" t="s">
        <v>131</v>
      </c>
      <c r="L54" s="20">
        <f>115*1000</f>
        <v>115000</v>
      </c>
      <c r="M54" s="20">
        <f>280*1000</f>
        <v>280000</v>
      </c>
      <c r="N54" s="20">
        <f>292*1000</f>
        <v>292000</v>
      </c>
      <c r="O54" s="199">
        <f>N54+M54-L54</f>
        <v>457000</v>
      </c>
    </row>
    <row r="55" spans="11:15">
      <c r="K55" s="186" t="s">
        <v>438</v>
      </c>
      <c r="L55" s="20">
        <f>76*1000</f>
        <v>76000</v>
      </c>
      <c r="M55" s="20">
        <f>212*1000</f>
        <v>212000</v>
      </c>
      <c r="N55" s="20">
        <f>92*1000</f>
        <v>92000</v>
      </c>
      <c r="O55" s="199">
        <f>N55+M55-L55</f>
        <v>228000</v>
      </c>
    </row>
    <row r="56" spans="11:15">
      <c r="K56" s="195" t="s">
        <v>439</v>
      </c>
      <c r="L56" s="78">
        <f>L53-L55</f>
        <v>430000</v>
      </c>
      <c r="M56" s="78">
        <f>M53-M55</f>
        <v>946000</v>
      </c>
      <c r="N56" s="78">
        <f>N53-N55</f>
        <v>545000</v>
      </c>
      <c r="O56" s="208">
        <f>O53-O55</f>
        <v>1061000</v>
      </c>
    </row>
    <row r="58" spans="11:15">
      <c r="K58" s="187" t="s">
        <v>517</v>
      </c>
    </row>
    <row r="59" spans="11:15">
      <c r="K59" s="187" t="s">
        <v>518</v>
      </c>
    </row>
  </sheetData>
  <pageMargins left="0.7" right="0.7" top="0.75" bottom="0.75" header="0.3" footer="0.3"/>
  <pageSetup scale="61"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D6011-6471-46DC-B90E-8E062DE4968B}">
  <sheetPr>
    <pageSetUpPr fitToPage="1"/>
  </sheetPr>
  <dimension ref="A1:I100"/>
  <sheetViews>
    <sheetView zoomScale="160" zoomScaleNormal="160" workbookViewId="0"/>
  </sheetViews>
  <sheetFormatPr baseColWidth="10" defaultColWidth="8.75" defaultRowHeight="14"/>
  <cols>
    <col min="1" max="1" width="20.125" style="186" bestFit="1" customWidth="1"/>
    <col min="2" max="2" width="11.75" style="186" bestFit="1" customWidth="1"/>
    <col min="3" max="4" width="10.75" style="186" customWidth="1"/>
    <col min="5" max="5" width="8.875" style="186" bestFit="1" customWidth="1"/>
    <col min="6" max="6" width="11.875" style="186" bestFit="1" customWidth="1"/>
    <col min="7" max="7" width="13" style="186" bestFit="1" customWidth="1"/>
    <col min="8" max="8" width="11.875" style="186" bestFit="1" customWidth="1"/>
    <col min="9" max="9" width="17.125" style="186" bestFit="1" customWidth="1"/>
    <col min="10" max="16384" width="8.75" style="186"/>
  </cols>
  <sheetData>
    <row r="1" spans="1:9" ht="30">
      <c r="A1" s="184" t="s">
        <v>448</v>
      </c>
      <c r="B1" s="185"/>
      <c r="C1" s="185"/>
      <c r="D1" s="185"/>
      <c r="E1" s="185"/>
      <c r="F1" s="185"/>
      <c r="G1" s="185"/>
      <c r="H1" s="185"/>
      <c r="I1" s="185"/>
    </row>
    <row r="3" spans="1:9">
      <c r="A3" s="186" t="s">
        <v>449</v>
      </c>
      <c r="B3" s="212">
        <v>39275</v>
      </c>
      <c r="C3" s="212">
        <v>40940</v>
      </c>
      <c r="D3" s="212">
        <v>40935</v>
      </c>
    </row>
    <row r="4" spans="1:9">
      <c r="A4" s="186" t="s">
        <v>450</v>
      </c>
      <c r="B4" s="188" t="s">
        <v>188</v>
      </c>
      <c r="C4" s="188" t="s">
        <v>188</v>
      </c>
      <c r="D4" s="188" t="s">
        <v>451</v>
      </c>
    </row>
    <row r="5" spans="1:9">
      <c r="A5" s="186" t="s">
        <v>452</v>
      </c>
      <c r="B5" s="188" t="s">
        <v>453</v>
      </c>
      <c r="C5" s="188" t="s">
        <v>454</v>
      </c>
      <c r="D5" s="188" t="s">
        <v>455</v>
      </c>
    </row>
    <row r="6" spans="1:9">
      <c r="A6" s="186" t="s">
        <v>456</v>
      </c>
      <c r="B6" s="188" t="s">
        <v>457</v>
      </c>
      <c r="C6" s="188" t="s">
        <v>458</v>
      </c>
      <c r="D6" s="188" t="s">
        <v>459</v>
      </c>
    </row>
    <row r="7" spans="1:9">
      <c r="A7" s="186" t="s">
        <v>460</v>
      </c>
      <c r="B7" s="213">
        <v>28</v>
      </c>
      <c r="C7" s="213">
        <v>35</v>
      </c>
      <c r="D7" s="213">
        <v>27.65</v>
      </c>
      <c r="E7" s="200" t="s">
        <v>261</v>
      </c>
    </row>
    <row r="8" spans="1:9">
      <c r="A8" s="186" t="s">
        <v>461</v>
      </c>
      <c r="B8" s="214">
        <f>C92</f>
        <v>0.57989431886109077</v>
      </c>
      <c r="C8" s="214">
        <f>C61</f>
        <v>0.37197358950865128</v>
      </c>
      <c r="D8" s="214">
        <f>C31</f>
        <v>1.6232413061432522</v>
      </c>
      <c r="E8" s="215">
        <f>AVERAGE(B8:D8)</f>
        <v>0.85836973817099815</v>
      </c>
    </row>
    <row r="9" spans="1:9">
      <c r="A9" s="186" t="s">
        <v>462</v>
      </c>
      <c r="B9" s="214">
        <f>C94</f>
        <v>10.120683203339784</v>
      </c>
      <c r="C9" s="214">
        <f>C66</f>
        <v>7.260803728652351</v>
      </c>
      <c r="D9" s="214">
        <f>C36</f>
        <v>9.558633028829691</v>
      </c>
      <c r="E9" s="215">
        <f>AVERAGE(B9:D9)</f>
        <v>8.9800399869406089</v>
      </c>
    </row>
    <row r="10" spans="1:9">
      <c r="A10" s="186" t="s">
        <v>463</v>
      </c>
      <c r="B10" s="214">
        <f>C96</f>
        <v>17.266767324646519</v>
      </c>
      <c r="C10" s="214">
        <f>C70</f>
        <v>7.0445517637414952</v>
      </c>
      <c r="D10" s="214">
        <f>C40</f>
        <v>8.9577289973221053</v>
      </c>
      <c r="E10" s="215">
        <f>AVERAGE(B10:D10)</f>
        <v>11.089682695236705</v>
      </c>
    </row>
    <row r="11" spans="1:9">
      <c r="A11" s="186" t="s">
        <v>464</v>
      </c>
      <c r="B11" s="214">
        <f>C98</f>
        <v>23.18735284437826</v>
      </c>
      <c r="C11" s="214">
        <f>C72</f>
        <v>20.756405804491234</v>
      </c>
      <c r="D11" s="214">
        <f>C42</f>
        <v>12.99212602665038</v>
      </c>
      <c r="E11" s="215">
        <f>AVERAGE(B11:D11)</f>
        <v>18.978628225173292</v>
      </c>
    </row>
    <row r="12" spans="1:9" ht="15" thickBot="1"/>
    <row r="13" spans="1:9">
      <c r="A13" s="216" t="s">
        <v>465</v>
      </c>
      <c r="B13" s="217"/>
      <c r="C13" s="217"/>
      <c r="D13" s="217"/>
      <c r="E13" s="217"/>
      <c r="F13" s="217"/>
      <c r="G13" s="217"/>
      <c r="H13" s="218"/>
    </row>
    <row r="14" spans="1:9">
      <c r="A14" s="219"/>
      <c r="H14" s="220"/>
    </row>
    <row r="15" spans="1:9">
      <c r="A15" s="219" t="s">
        <v>466</v>
      </c>
      <c r="B15" s="190">
        <v>22</v>
      </c>
      <c r="D15" s="200"/>
      <c r="E15" s="204">
        <v>40934</v>
      </c>
      <c r="F15" s="200" t="s">
        <v>467</v>
      </c>
      <c r="H15" s="220"/>
    </row>
    <row r="16" spans="1:9">
      <c r="A16" s="219" t="s">
        <v>468</v>
      </c>
      <c r="B16" s="221">
        <f>F17</f>
        <v>5.6543999999999999</v>
      </c>
      <c r="D16" s="222" t="s">
        <v>469</v>
      </c>
      <c r="E16" s="222" t="s">
        <v>470</v>
      </c>
      <c r="F16" s="222" t="s">
        <v>471</v>
      </c>
      <c r="H16" s="220"/>
    </row>
    <row r="17" spans="1:8">
      <c r="A17" s="223" t="s">
        <v>472</v>
      </c>
      <c r="B17" s="224">
        <f>SUM(B15:B16)</f>
        <v>27.654399999999999</v>
      </c>
      <c r="D17" s="192">
        <v>0.12</v>
      </c>
      <c r="E17" s="190">
        <v>47.12</v>
      </c>
      <c r="F17" s="225">
        <f>D17*E17</f>
        <v>5.6543999999999999</v>
      </c>
      <c r="H17" s="220"/>
    </row>
    <row r="18" spans="1:8">
      <c r="A18" s="219" t="s">
        <v>473</v>
      </c>
      <c r="B18" s="226">
        <v>122.41274</v>
      </c>
      <c r="H18" s="220"/>
    </row>
    <row r="19" spans="1:8">
      <c r="A19" s="219" t="s">
        <v>474</v>
      </c>
      <c r="B19" s="227">
        <f>H22</f>
        <v>0.67570230872483239</v>
      </c>
      <c r="D19" s="189" t="s">
        <v>475</v>
      </c>
      <c r="H19" s="220"/>
    </row>
    <row r="20" spans="1:8">
      <c r="A20" s="223" t="s">
        <v>252</v>
      </c>
      <c r="B20" s="228">
        <f>SUM(B18:B19)</f>
        <v>123.08844230872484</v>
      </c>
      <c r="D20" s="200" t="s">
        <v>409</v>
      </c>
      <c r="E20" s="200" t="s">
        <v>476</v>
      </c>
      <c r="F20" s="200" t="s">
        <v>471</v>
      </c>
      <c r="G20" s="200" t="s">
        <v>411</v>
      </c>
      <c r="H20" s="229" t="s">
        <v>477</v>
      </c>
    </row>
    <row r="21" spans="1:8">
      <c r="D21" s="222" t="s">
        <v>413</v>
      </c>
      <c r="E21" s="222" t="s">
        <v>478</v>
      </c>
      <c r="F21" s="222" t="s">
        <v>415</v>
      </c>
      <c r="G21" s="222" t="s">
        <v>479</v>
      </c>
      <c r="H21" s="230" t="s">
        <v>479</v>
      </c>
    </row>
    <row r="22" spans="1:8">
      <c r="A22" s="223" t="s">
        <v>421</v>
      </c>
      <c r="B22" s="231">
        <f>B17*B20</f>
        <v>3403.9370189823999</v>
      </c>
      <c r="D22" s="192">
        <v>1.8222560000000001</v>
      </c>
      <c r="E22" s="190">
        <v>17.399999999999999</v>
      </c>
      <c r="F22" s="193">
        <f>B17</f>
        <v>27.654399999999999</v>
      </c>
      <c r="G22" s="188" t="str">
        <f>IF($F$22&gt;E22,"YES","NO")</f>
        <v>YES</v>
      </c>
      <c r="H22" s="220">
        <f>IF(G22="YES",(($F$22-E22)/($F$22)*D22))</f>
        <v>0.67570230872483239</v>
      </c>
    </row>
    <row r="23" spans="1:8">
      <c r="H23" s="220"/>
    </row>
    <row r="24" spans="1:8">
      <c r="A24" s="219" t="s">
        <v>241</v>
      </c>
      <c r="B24" s="226">
        <v>1337</v>
      </c>
      <c r="D24" s="186" t="s">
        <v>480</v>
      </c>
      <c r="H24" s="220"/>
    </row>
    <row r="25" spans="1:8">
      <c r="A25" s="219" t="s">
        <v>423</v>
      </c>
      <c r="B25" s="226">
        <v>113</v>
      </c>
      <c r="H25" s="220"/>
    </row>
    <row r="26" spans="1:8">
      <c r="A26" s="223" t="s">
        <v>424</v>
      </c>
      <c r="B26" s="231">
        <f>B24-B25</f>
        <v>1224</v>
      </c>
      <c r="H26" s="220"/>
    </row>
    <row r="27" spans="1:8">
      <c r="A27" s="219" t="s">
        <v>481</v>
      </c>
      <c r="B27" s="226">
        <v>0</v>
      </c>
      <c r="H27" s="220"/>
    </row>
    <row r="28" spans="1:8">
      <c r="A28" s="219" t="s">
        <v>482</v>
      </c>
      <c r="B28" s="226">
        <v>8</v>
      </c>
      <c r="H28" s="220"/>
    </row>
    <row r="29" spans="1:8">
      <c r="A29" s="223" t="s">
        <v>426</v>
      </c>
      <c r="B29" s="231">
        <f>B22+B26+B27+B28</f>
        <v>4635.9370189824003</v>
      </c>
      <c r="H29" s="220"/>
    </row>
    <row r="30" spans="1:8">
      <c r="A30" s="219"/>
      <c r="H30" s="220"/>
    </row>
    <row r="31" spans="1:8">
      <c r="A31" s="232" t="s">
        <v>461</v>
      </c>
      <c r="B31" s="233">
        <v>2097</v>
      </c>
      <c r="C31" s="215">
        <f>B22/B31</f>
        <v>1.6232413061432522</v>
      </c>
      <c r="H31" s="220"/>
    </row>
    <row r="32" spans="1:8">
      <c r="A32" s="219"/>
      <c r="C32" s="234"/>
      <c r="H32" s="220"/>
    </row>
    <row r="33" spans="1:9">
      <c r="A33" s="219" t="s">
        <v>483</v>
      </c>
      <c r="B33" s="211">
        <v>404</v>
      </c>
      <c r="C33" s="234"/>
      <c r="H33" s="220"/>
    </row>
    <row r="34" spans="1:9">
      <c r="A34" s="219" t="s">
        <v>484</v>
      </c>
      <c r="B34" s="191">
        <v>-44</v>
      </c>
      <c r="C34" s="234"/>
      <c r="H34" s="220"/>
    </row>
    <row r="35" spans="1:9">
      <c r="A35" s="219" t="s">
        <v>485</v>
      </c>
      <c r="B35" s="191">
        <v>125</v>
      </c>
      <c r="C35" s="234"/>
      <c r="H35" s="220"/>
    </row>
    <row r="36" spans="1:9">
      <c r="A36" s="232" t="s">
        <v>462</v>
      </c>
      <c r="B36" s="208">
        <f>SUM(B33:B35)</f>
        <v>485</v>
      </c>
      <c r="C36" s="215">
        <f>B29/B36</f>
        <v>9.558633028829691</v>
      </c>
      <c r="H36" s="220"/>
    </row>
    <row r="37" spans="1:9">
      <c r="A37" s="219"/>
      <c r="C37" s="234"/>
      <c r="H37" s="220"/>
    </row>
    <row r="38" spans="1:9">
      <c r="A38" s="219" t="s">
        <v>486</v>
      </c>
      <c r="B38" s="191">
        <v>105</v>
      </c>
      <c r="C38" s="234"/>
      <c r="H38" s="220"/>
    </row>
    <row r="39" spans="1:9">
      <c r="A39" s="219"/>
      <c r="C39" s="234"/>
      <c r="H39" s="220"/>
    </row>
    <row r="40" spans="1:9">
      <c r="A40" s="232" t="s">
        <v>463</v>
      </c>
      <c r="B40" s="208">
        <f>B36-B38</f>
        <v>380</v>
      </c>
      <c r="C40" s="215">
        <f>B22/B40</f>
        <v>8.9577289973221053</v>
      </c>
      <c r="H40" s="220"/>
    </row>
    <row r="41" spans="1:9">
      <c r="A41" s="219"/>
      <c r="C41" s="234"/>
      <c r="H41" s="220"/>
    </row>
    <row r="42" spans="1:9">
      <c r="A42" s="232" t="s">
        <v>464</v>
      </c>
      <c r="B42" s="233">
        <v>262</v>
      </c>
      <c r="C42" s="215">
        <f>B22/B42</f>
        <v>12.99212602665038</v>
      </c>
      <c r="H42" s="220"/>
    </row>
    <row r="43" spans="1:9">
      <c r="A43" s="219"/>
      <c r="H43" s="220"/>
    </row>
    <row r="44" spans="1:9" ht="15" thickBot="1">
      <c r="A44" s="235" t="s">
        <v>487</v>
      </c>
      <c r="B44" s="236"/>
      <c r="C44" s="236"/>
      <c r="D44" s="236"/>
      <c r="E44" s="236"/>
      <c r="F44" s="236"/>
      <c r="G44" s="236"/>
      <c r="H44" s="237"/>
    </row>
    <row r="45" spans="1:9" ht="15" thickBot="1"/>
    <row r="46" spans="1:9">
      <c r="A46" s="216" t="s">
        <v>488</v>
      </c>
      <c r="B46" s="217"/>
      <c r="C46" s="217"/>
      <c r="D46" s="217"/>
      <c r="E46" s="217"/>
      <c r="F46" s="217"/>
      <c r="G46" s="217"/>
      <c r="H46" s="217"/>
      <c r="I46" s="218"/>
    </row>
    <row r="47" spans="1:9">
      <c r="A47" s="232"/>
      <c r="I47" s="220"/>
    </row>
    <row r="48" spans="1:9">
      <c r="A48" s="247" t="s">
        <v>489</v>
      </c>
      <c r="B48" s="18"/>
      <c r="C48" s="18"/>
      <c r="D48" s="18"/>
      <c r="E48" s="18"/>
      <c r="F48" s="18"/>
      <c r="G48" s="18"/>
      <c r="H48" s="18"/>
      <c r="I48" s="248"/>
    </row>
    <row r="49" spans="1:9" ht="15" thickBot="1">
      <c r="A49" s="247"/>
      <c r="B49" s="18"/>
      <c r="C49" s="18"/>
      <c r="D49" s="18"/>
      <c r="E49" s="18"/>
      <c r="F49" s="18"/>
      <c r="G49" s="18"/>
      <c r="H49" s="18"/>
      <c r="I49" s="248"/>
    </row>
    <row r="50" spans="1:9">
      <c r="A50" s="247" t="s">
        <v>520</v>
      </c>
      <c r="B50" s="107">
        <v>35</v>
      </c>
      <c r="C50" s="18"/>
      <c r="D50" s="18"/>
      <c r="E50" s="249" t="s">
        <v>490</v>
      </c>
      <c r="F50" s="250"/>
      <c r="G50" s="250"/>
      <c r="H50" s="250"/>
      <c r="I50" s="251"/>
    </row>
    <row r="51" spans="1:9">
      <c r="A51" s="247" t="s">
        <v>473</v>
      </c>
      <c r="B51" s="252">
        <v>34.240377000000002</v>
      </c>
      <c r="C51" s="18"/>
      <c r="D51" s="18"/>
      <c r="E51" s="247"/>
      <c r="F51" s="18"/>
      <c r="G51" s="18"/>
      <c r="H51" s="18"/>
      <c r="I51" s="248"/>
    </row>
    <row r="52" spans="1:9">
      <c r="A52" s="247" t="s">
        <v>474</v>
      </c>
      <c r="B52" s="253">
        <f>$I$57</f>
        <v>1.184385857142857E-2</v>
      </c>
      <c r="C52" s="18"/>
      <c r="D52" s="18"/>
      <c r="E52" s="254" t="s">
        <v>409</v>
      </c>
      <c r="F52" s="9" t="s">
        <v>491</v>
      </c>
      <c r="G52" s="9" t="s">
        <v>460</v>
      </c>
      <c r="H52" s="9" t="s">
        <v>492</v>
      </c>
      <c r="I52" s="255" t="s">
        <v>493</v>
      </c>
    </row>
    <row r="53" spans="1:9">
      <c r="A53" s="256" t="s">
        <v>421</v>
      </c>
      <c r="B53" s="257">
        <f>B50*SUM(B51:B52)</f>
        <v>1198.8277300500001</v>
      </c>
      <c r="C53" s="18"/>
      <c r="D53" s="18"/>
      <c r="E53" s="254" t="s">
        <v>494</v>
      </c>
      <c r="F53" s="9" t="s">
        <v>478</v>
      </c>
      <c r="G53" s="258">
        <v>40940</v>
      </c>
      <c r="H53" s="9" t="s">
        <v>416</v>
      </c>
      <c r="I53" s="255" t="s">
        <v>417</v>
      </c>
    </row>
    <row r="54" spans="1:9">
      <c r="A54" s="247" t="s">
        <v>241</v>
      </c>
      <c r="B54" s="259">
        <f>497.464+109.899</f>
        <v>607.36300000000006</v>
      </c>
      <c r="C54" s="18"/>
      <c r="D54" s="18"/>
      <c r="E54" s="260">
        <v>3.5705000000000001E-2</v>
      </c>
      <c r="F54" s="107">
        <v>23.39</v>
      </c>
      <c r="G54" s="245">
        <f>B50</f>
        <v>35</v>
      </c>
      <c r="H54" s="246" t="str">
        <f>IF($G$54&gt;F54,"YES","NO")</f>
        <v>YES</v>
      </c>
      <c r="I54" s="248">
        <f>IF(H54="YES",((($G$54-F54)/$G$54)*E54),0)</f>
        <v>1.184385857142857E-2</v>
      </c>
    </row>
    <row r="55" spans="1:9">
      <c r="A55" s="247" t="s">
        <v>423</v>
      </c>
      <c r="B55" s="261">
        <v>88.575000000000003</v>
      </c>
      <c r="C55" s="18"/>
      <c r="D55" s="18"/>
      <c r="E55" s="260">
        <v>3.3083000000000001E-2</v>
      </c>
      <c r="F55" s="107">
        <v>212.42</v>
      </c>
      <c r="G55" s="245"/>
      <c r="H55" s="246" t="str">
        <f t="shared" ref="H55:H56" si="0">IF($G$54&gt;F55,"YES","NO")</f>
        <v>NO</v>
      </c>
      <c r="I55" s="248">
        <f>IF(H55="YES",((($G$54-F55)/$G$54)*E55),0)</f>
        <v>0</v>
      </c>
    </row>
    <row r="56" spans="1:9">
      <c r="A56" s="256" t="s">
        <v>424</v>
      </c>
      <c r="B56" s="257">
        <f>B54-B55</f>
        <v>518.78800000000001</v>
      </c>
      <c r="C56" s="18"/>
      <c r="D56" s="18"/>
      <c r="E56" s="260">
        <v>4.7113000000000002E-2</v>
      </c>
      <c r="F56" s="107">
        <v>663.07</v>
      </c>
      <c r="G56" s="245"/>
      <c r="H56" s="246" t="str">
        <f t="shared" si="0"/>
        <v>NO</v>
      </c>
      <c r="I56" s="248">
        <f>IF(H56="YES",((($G$54-F56)/$G$54)*E56),0)</f>
        <v>0</v>
      </c>
    </row>
    <row r="57" spans="1:9">
      <c r="A57" s="247" t="s">
        <v>521</v>
      </c>
      <c r="B57" s="261">
        <v>0</v>
      </c>
      <c r="C57" s="18"/>
      <c r="D57" s="18"/>
      <c r="E57" s="247"/>
      <c r="F57" s="18"/>
      <c r="G57" s="18"/>
      <c r="H57" s="1" t="s">
        <v>495</v>
      </c>
      <c r="I57" s="262">
        <f>SUM(I54)</f>
        <v>1.184385857142857E-2</v>
      </c>
    </row>
    <row r="58" spans="1:9">
      <c r="A58" s="247" t="s">
        <v>482</v>
      </c>
      <c r="B58" s="263">
        <v>0</v>
      </c>
      <c r="C58" s="18"/>
      <c r="D58" s="18"/>
      <c r="E58" s="247"/>
      <c r="F58" s="18"/>
      <c r="G58" s="18"/>
      <c r="H58" s="18"/>
      <c r="I58" s="248"/>
    </row>
    <row r="59" spans="1:9" ht="15" thickBot="1">
      <c r="A59" s="256" t="s">
        <v>426</v>
      </c>
      <c r="B59" s="257">
        <f>B53+B56+B57+B58</f>
        <v>1717.6157300500001</v>
      </c>
      <c r="C59" s="18"/>
      <c r="D59" s="18"/>
      <c r="E59" s="264" t="s">
        <v>522</v>
      </c>
      <c r="F59" s="265"/>
      <c r="G59" s="265"/>
      <c r="H59" s="265"/>
      <c r="I59" s="266"/>
    </row>
    <row r="60" spans="1:9">
      <c r="A60" s="247"/>
      <c r="B60" s="18"/>
      <c r="C60" s="18"/>
      <c r="D60" s="18"/>
      <c r="E60" s="18"/>
      <c r="F60" s="18"/>
      <c r="G60" s="18"/>
      <c r="H60" s="18"/>
      <c r="I60" s="248"/>
    </row>
    <row r="61" spans="1:9">
      <c r="A61" s="256" t="s">
        <v>461</v>
      </c>
      <c r="B61" s="267">
        <v>3222.884</v>
      </c>
      <c r="C61" s="268">
        <f>B53/B61</f>
        <v>0.37197358950865128</v>
      </c>
      <c r="D61" s="18"/>
      <c r="E61" s="18"/>
      <c r="F61" s="18"/>
      <c r="G61" s="18"/>
      <c r="H61" s="18"/>
      <c r="I61" s="248"/>
    </row>
    <row r="62" spans="1:9">
      <c r="A62" s="247"/>
      <c r="B62" s="18"/>
      <c r="C62" s="269"/>
      <c r="D62" s="18"/>
      <c r="E62" s="18"/>
      <c r="F62" s="18"/>
      <c r="G62" s="18"/>
      <c r="H62" s="18"/>
      <c r="I62" s="248"/>
    </row>
    <row r="63" spans="1:9">
      <c r="A63" s="247" t="s">
        <v>360</v>
      </c>
      <c r="B63" s="270">
        <v>124.599</v>
      </c>
      <c r="C63" s="269"/>
      <c r="D63" s="18"/>
      <c r="E63" s="18"/>
      <c r="F63" s="18"/>
      <c r="G63" s="18"/>
      <c r="H63" s="18"/>
      <c r="I63" s="248"/>
    </row>
    <row r="64" spans="1:9">
      <c r="A64" s="247" t="s">
        <v>523</v>
      </c>
      <c r="B64" s="259">
        <f>8.318+3.271-1.15</f>
        <v>10.438999999999998</v>
      </c>
      <c r="C64" s="269"/>
      <c r="D64" s="18"/>
      <c r="E64" s="18"/>
      <c r="F64" s="18"/>
      <c r="G64" s="18"/>
      <c r="H64" s="18"/>
      <c r="I64" s="248"/>
    </row>
    <row r="65" spans="1:9">
      <c r="A65" s="247" t="s">
        <v>437</v>
      </c>
      <c r="B65" s="261">
        <v>101.52200000000001</v>
      </c>
      <c r="C65" s="269"/>
      <c r="D65" s="18"/>
      <c r="E65" s="18"/>
      <c r="F65" s="18"/>
      <c r="G65" s="18"/>
      <c r="H65" s="18"/>
      <c r="I65" s="248"/>
    </row>
    <row r="66" spans="1:9">
      <c r="A66" s="256" t="s">
        <v>462</v>
      </c>
      <c r="B66" s="271">
        <f>B63+B64+B65</f>
        <v>236.56</v>
      </c>
      <c r="C66" s="268">
        <f>B59/B66</f>
        <v>7.260803728652351</v>
      </c>
      <c r="D66" s="18"/>
      <c r="E66" s="18"/>
      <c r="F66" s="18"/>
      <c r="G66" s="18"/>
      <c r="H66" s="18"/>
      <c r="I66" s="248"/>
    </row>
    <row r="67" spans="1:9">
      <c r="A67" s="247"/>
      <c r="B67" s="18"/>
      <c r="C67" s="269"/>
      <c r="D67" s="18"/>
      <c r="E67" s="18"/>
      <c r="F67" s="18"/>
      <c r="G67" s="18"/>
      <c r="H67" s="18"/>
      <c r="I67" s="248"/>
    </row>
    <row r="68" spans="1:9">
      <c r="A68" s="247" t="s">
        <v>486</v>
      </c>
      <c r="B68" s="270">
        <v>66.382000000000005</v>
      </c>
      <c r="C68" s="269"/>
      <c r="D68" s="18"/>
      <c r="E68" s="18"/>
      <c r="F68" s="18"/>
      <c r="G68" s="18"/>
      <c r="H68" s="18"/>
      <c r="I68" s="248"/>
    </row>
    <row r="69" spans="1:9">
      <c r="A69" s="247"/>
      <c r="B69" s="18"/>
      <c r="C69" s="269"/>
      <c r="D69" s="18"/>
      <c r="E69" s="18"/>
      <c r="F69" s="18"/>
      <c r="G69" s="18"/>
      <c r="H69" s="18"/>
      <c r="I69" s="248"/>
    </row>
    <row r="70" spans="1:9">
      <c r="A70" s="256" t="s">
        <v>463</v>
      </c>
      <c r="B70" s="271">
        <f>B66-B68</f>
        <v>170.178</v>
      </c>
      <c r="C70" s="268">
        <f>B53/B70</f>
        <v>7.0445517637414952</v>
      </c>
      <c r="D70" s="18"/>
      <c r="E70" s="18"/>
      <c r="F70" s="18"/>
      <c r="G70" s="18"/>
      <c r="H70" s="18"/>
      <c r="I70" s="248"/>
    </row>
    <row r="71" spans="1:9">
      <c r="A71" s="247"/>
      <c r="B71" s="18"/>
      <c r="C71" s="269"/>
      <c r="D71" s="18"/>
      <c r="E71" s="18"/>
      <c r="F71" s="18"/>
      <c r="G71" s="18"/>
      <c r="H71" s="18"/>
      <c r="I71" s="248"/>
    </row>
    <row r="72" spans="1:9">
      <c r="A72" s="256" t="s">
        <v>464</v>
      </c>
      <c r="B72" s="267">
        <v>57.756999999999998</v>
      </c>
      <c r="C72" s="268">
        <f>B53/B72</f>
        <v>20.756405804491234</v>
      </c>
      <c r="D72" s="18"/>
      <c r="E72" s="18"/>
      <c r="F72" s="18"/>
      <c r="G72" s="18"/>
      <c r="H72" s="18"/>
      <c r="I72" s="248"/>
    </row>
    <row r="73" spans="1:9">
      <c r="A73" s="256"/>
      <c r="B73" s="271"/>
      <c r="C73" s="268"/>
      <c r="D73" s="18"/>
      <c r="E73" s="18"/>
      <c r="F73" s="18"/>
      <c r="G73" s="18"/>
      <c r="H73" s="18"/>
      <c r="I73" s="248"/>
    </row>
    <row r="74" spans="1:9" ht="15" thickBot="1">
      <c r="A74" s="272" t="s">
        <v>487</v>
      </c>
      <c r="B74" s="273"/>
      <c r="C74" s="274"/>
      <c r="D74" s="265"/>
      <c r="E74" s="265"/>
      <c r="F74" s="265"/>
      <c r="G74" s="265"/>
      <c r="H74" s="265"/>
      <c r="I74" s="266"/>
    </row>
    <row r="75" spans="1:9" ht="15" thickBot="1"/>
    <row r="76" spans="1:9">
      <c r="A76" s="216" t="s">
        <v>496</v>
      </c>
      <c r="B76" s="217"/>
      <c r="C76" s="217"/>
      <c r="D76" s="217"/>
      <c r="E76" s="217"/>
      <c r="F76" s="217"/>
      <c r="G76" s="217"/>
      <c r="H76" s="217"/>
      <c r="I76" s="218"/>
    </row>
    <row r="77" spans="1:9">
      <c r="A77" s="232"/>
      <c r="I77" s="220"/>
    </row>
    <row r="78" spans="1:9">
      <c r="A78" s="247" t="s">
        <v>489</v>
      </c>
      <c r="B78" s="18"/>
      <c r="C78" s="18"/>
      <c r="D78" s="18"/>
      <c r="E78" s="18"/>
      <c r="F78" s="18"/>
      <c r="G78" s="18"/>
      <c r="H78" s="18"/>
      <c r="I78" s="248"/>
    </row>
    <row r="79" spans="1:9" ht="15" thickBot="1">
      <c r="A79" s="247"/>
      <c r="B79" s="18"/>
      <c r="C79" s="18"/>
      <c r="D79" s="18"/>
      <c r="E79" s="18"/>
      <c r="F79" s="18"/>
      <c r="G79" s="18"/>
      <c r="H79" s="18"/>
      <c r="I79" s="248"/>
    </row>
    <row r="80" spans="1:9">
      <c r="A80" s="247" t="s">
        <v>524</v>
      </c>
      <c r="B80" s="177">
        <v>28</v>
      </c>
      <c r="C80" s="18"/>
      <c r="D80" s="18"/>
      <c r="E80" s="249" t="s">
        <v>497</v>
      </c>
      <c r="F80" s="250"/>
      <c r="G80" s="250"/>
      <c r="H80" s="250"/>
      <c r="I80" s="251"/>
    </row>
    <row r="81" spans="1:9">
      <c r="A81" s="247" t="s">
        <v>473</v>
      </c>
      <c r="B81" s="252">
        <v>222.00508300000001</v>
      </c>
      <c r="C81" s="18"/>
      <c r="D81" s="18"/>
      <c r="E81" s="247"/>
      <c r="F81" s="18"/>
      <c r="G81" s="18"/>
      <c r="H81" s="18"/>
      <c r="I81" s="248"/>
    </row>
    <row r="82" spans="1:9">
      <c r="A82" s="247" t="s">
        <v>474</v>
      </c>
      <c r="B82" s="253">
        <f>I85</f>
        <v>0.42788035714285705</v>
      </c>
      <c r="C82" s="18"/>
      <c r="D82" s="18"/>
      <c r="E82" s="254" t="s">
        <v>409</v>
      </c>
      <c r="F82" s="9" t="s">
        <v>491</v>
      </c>
      <c r="G82" s="9" t="s">
        <v>460</v>
      </c>
      <c r="H82" s="9" t="s">
        <v>492</v>
      </c>
      <c r="I82" s="255" t="s">
        <v>493</v>
      </c>
    </row>
    <row r="83" spans="1:9">
      <c r="A83" s="256" t="s">
        <v>421</v>
      </c>
      <c r="B83" s="257">
        <f>B80*SUM(B81:B82)</f>
        <v>6228.1229740000008</v>
      </c>
      <c r="C83" s="18"/>
      <c r="D83" s="18"/>
      <c r="E83" s="254" t="s">
        <v>494</v>
      </c>
      <c r="F83" s="9" t="s">
        <v>478</v>
      </c>
      <c r="G83" s="258">
        <v>39275</v>
      </c>
      <c r="H83" s="9" t="s">
        <v>416</v>
      </c>
      <c r="I83" s="255" t="s">
        <v>417</v>
      </c>
    </row>
    <row r="84" spans="1:9">
      <c r="A84" s="247" t="s">
        <v>241</v>
      </c>
      <c r="B84" s="259">
        <f>258.8+3524.6</f>
        <v>3783.4</v>
      </c>
      <c r="C84" s="18"/>
      <c r="D84" s="18"/>
      <c r="E84" s="260">
        <v>2.0550000000000002</v>
      </c>
      <c r="F84" s="107">
        <v>22.17</v>
      </c>
      <c r="G84" s="245">
        <f>B80</f>
        <v>28</v>
      </c>
      <c r="H84" s="246" t="str">
        <f>IF($G$84&gt;F84,"YES","NO")</f>
        <v>YES</v>
      </c>
      <c r="I84" s="248">
        <f>IF(H84="YES",((($G$84-F84)/$G$84)*E84),0)</f>
        <v>0.42788035714285705</v>
      </c>
    </row>
    <row r="85" spans="1:9">
      <c r="A85" s="247" t="s">
        <v>423</v>
      </c>
      <c r="B85" s="261">
        <v>167.5</v>
      </c>
      <c r="C85" s="18"/>
      <c r="D85" s="18"/>
      <c r="E85" s="247"/>
      <c r="F85" s="18"/>
      <c r="G85" s="18"/>
      <c r="H85" s="1" t="s">
        <v>495</v>
      </c>
      <c r="I85" s="262">
        <f>SUM(I84)</f>
        <v>0.42788035714285705</v>
      </c>
    </row>
    <row r="86" spans="1:9">
      <c r="A86" s="256" t="s">
        <v>424</v>
      </c>
      <c r="B86" s="257">
        <f>B84-B85</f>
        <v>3615.9</v>
      </c>
      <c r="C86" s="18"/>
      <c r="D86" s="18"/>
      <c r="E86" s="247"/>
      <c r="F86" s="18"/>
      <c r="G86" s="18"/>
      <c r="H86" s="18"/>
      <c r="I86" s="248"/>
    </row>
    <row r="87" spans="1:9" ht="15" thickBot="1">
      <c r="A87" s="247" t="s">
        <v>521</v>
      </c>
      <c r="B87" s="261">
        <v>287.5</v>
      </c>
      <c r="C87" s="18"/>
      <c r="D87" s="18"/>
      <c r="E87" s="264" t="s">
        <v>525</v>
      </c>
      <c r="F87" s="265"/>
      <c r="G87" s="265"/>
      <c r="H87" s="265"/>
      <c r="I87" s="266"/>
    </row>
    <row r="88" spans="1:9">
      <c r="A88" s="247" t="s">
        <v>482</v>
      </c>
      <c r="B88" s="261">
        <v>23.9</v>
      </c>
      <c r="C88" s="18"/>
      <c r="D88" s="18"/>
      <c r="E88" s="18"/>
      <c r="F88" s="18"/>
      <c r="G88" s="18"/>
      <c r="H88" s="18"/>
      <c r="I88" s="248"/>
    </row>
    <row r="89" spans="1:9" ht="15" thickBot="1">
      <c r="A89" s="247" t="s">
        <v>526</v>
      </c>
      <c r="B89" s="261">
        <v>215.9</v>
      </c>
      <c r="C89" s="18"/>
      <c r="D89" s="18"/>
      <c r="E89" s="18"/>
      <c r="F89" s="18"/>
      <c r="G89" s="18"/>
      <c r="H89" s="18"/>
      <c r="I89" s="248"/>
    </row>
    <row r="90" spans="1:9">
      <c r="A90" s="256" t="s">
        <v>426</v>
      </c>
      <c r="B90" s="257">
        <f>B83+B86+B87+B88-B89</f>
        <v>9939.5229740000013</v>
      </c>
      <c r="C90" s="18"/>
      <c r="D90" s="18"/>
      <c r="E90" s="18"/>
      <c r="F90" s="7">
        <v>38898</v>
      </c>
      <c r="G90" s="7">
        <v>39082</v>
      </c>
      <c r="H90" s="57">
        <v>39263</v>
      </c>
      <c r="I90" s="275" t="s">
        <v>429</v>
      </c>
    </row>
    <row r="91" spans="1:9">
      <c r="A91" s="247"/>
      <c r="B91" s="18"/>
      <c r="C91" s="18"/>
      <c r="D91" s="18"/>
      <c r="E91" s="1" t="s">
        <v>435</v>
      </c>
      <c r="F91" s="267">
        <v>4688</v>
      </c>
      <c r="G91" s="267">
        <v>10623.6</v>
      </c>
      <c r="H91" s="267">
        <v>4804.5</v>
      </c>
      <c r="I91" s="276">
        <f>G91+H91-F91</f>
        <v>10740.1</v>
      </c>
    </row>
    <row r="92" spans="1:9">
      <c r="A92" s="256" t="s">
        <v>461</v>
      </c>
      <c r="B92" s="277">
        <f>I91</f>
        <v>10740.1</v>
      </c>
      <c r="C92" s="268">
        <f>B83/B92</f>
        <v>0.57989431886109077</v>
      </c>
      <c r="D92" s="18"/>
      <c r="E92" s="18" t="s">
        <v>360</v>
      </c>
      <c r="F92" s="270">
        <v>444.7</v>
      </c>
      <c r="G92" s="270">
        <v>736.5</v>
      </c>
      <c r="H92" s="270">
        <v>242.9</v>
      </c>
      <c r="I92" s="276">
        <f t="shared" ref="I92:I98" si="1">G92+H92-F92</f>
        <v>534.70000000000005</v>
      </c>
    </row>
    <row r="93" spans="1:9">
      <c r="A93" s="247"/>
      <c r="B93" s="18"/>
      <c r="C93" s="269"/>
      <c r="D93" s="18"/>
      <c r="E93" s="18" t="s">
        <v>498</v>
      </c>
      <c r="F93" s="278">
        <f>17.1-94.3</f>
        <v>-77.199999999999989</v>
      </c>
      <c r="G93" s="278">
        <f>20-127.7</f>
        <v>-107.7</v>
      </c>
      <c r="H93" s="278">
        <f>24.4+5.3</f>
        <v>29.7</v>
      </c>
      <c r="I93" s="276">
        <f t="shared" si="1"/>
        <v>-0.80000000000001137</v>
      </c>
    </row>
    <row r="94" spans="1:9">
      <c r="A94" s="256" t="s">
        <v>462</v>
      </c>
      <c r="B94" s="277">
        <f>I95</f>
        <v>982.09999999999991</v>
      </c>
      <c r="C94" s="268">
        <f>B90/B94</f>
        <v>10.120683203339784</v>
      </c>
      <c r="D94" s="18"/>
      <c r="E94" s="18" t="s">
        <v>437</v>
      </c>
      <c r="F94" s="270">
        <v>234.5</v>
      </c>
      <c r="G94" s="270">
        <v>465.7</v>
      </c>
      <c r="H94" s="270">
        <v>217</v>
      </c>
      <c r="I94" s="276">
        <f t="shared" si="1"/>
        <v>448.20000000000005</v>
      </c>
    </row>
    <row r="95" spans="1:9">
      <c r="A95" s="247"/>
      <c r="B95" s="278"/>
      <c r="C95" s="269"/>
      <c r="D95" s="18"/>
      <c r="E95" s="1" t="s">
        <v>63</v>
      </c>
      <c r="F95" s="271">
        <f>SUM(F92:F94)</f>
        <v>602</v>
      </c>
      <c r="G95" s="271">
        <f>SUM(G92:G94)</f>
        <v>1094.5</v>
      </c>
      <c r="H95" s="271">
        <f>SUM(H92:H94)</f>
        <v>489.6</v>
      </c>
      <c r="I95" s="276">
        <f t="shared" si="1"/>
        <v>982.09999999999991</v>
      </c>
    </row>
    <row r="96" spans="1:9">
      <c r="A96" s="256" t="s">
        <v>463</v>
      </c>
      <c r="B96" s="277">
        <f>I97</f>
        <v>360.7000000000001</v>
      </c>
      <c r="C96" s="268">
        <f>B83/B96</f>
        <v>17.266767324646519</v>
      </c>
      <c r="D96" s="18"/>
      <c r="E96" s="18" t="s">
        <v>438</v>
      </c>
      <c r="F96" s="270">
        <v>211.3</v>
      </c>
      <c r="G96" s="270">
        <v>549.9</v>
      </c>
      <c r="H96" s="270">
        <v>282.8</v>
      </c>
      <c r="I96" s="276">
        <f t="shared" si="1"/>
        <v>621.40000000000009</v>
      </c>
    </row>
    <row r="97" spans="1:9">
      <c r="A97" s="247"/>
      <c r="B97" s="18"/>
      <c r="C97" s="269"/>
      <c r="D97" s="18"/>
      <c r="E97" s="1" t="s">
        <v>439</v>
      </c>
      <c r="F97" s="271">
        <f>F95-F96</f>
        <v>390.7</v>
      </c>
      <c r="G97" s="271">
        <f>G95-G96</f>
        <v>544.6</v>
      </c>
      <c r="H97" s="271">
        <f>H95-H96</f>
        <v>206.8</v>
      </c>
      <c r="I97" s="276">
        <f t="shared" si="1"/>
        <v>360.7000000000001</v>
      </c>
    </row>
    <row r="98" spans="1:9" ht="15" thickBot="1">
      <c r="A98" s="256" t="s">
        <v>464</v>
      </c>
      <c r="B98" s="277">
        <f>I98</f>
        <v>268.60000000000002</v>
      </c>
      <c r="C98" s="268">
        <f>B83/B98</f>
        <v>23.18735284437826</v>
      </c>
      <c r="D98" s="18"/>
      <c r="E98" s="1" t="s">
        <v>131</v>
      </c>
      <c r="F98" s="267">
        <v>226.6</v>
      </c>
      <c r="G98" s="267">
        <v>393.6</v>
      </c>
      <c r="H98" s="267">
        <v>101.6</v>
      </c>
      <c r="I98" s="279">
        <f t="shared" si="1"/>
        <v>268.60000000000002</v>
      </c>
    </row>
    <row r="99" spans="1:9">
      <c r="A99" s="247"/>
      <c r="B99" s="18"/>
      <c r="C99" s="18"/>
      <c r="D99" s="18"/>
      <c r="E99" s="18"/>
      <c r="F99" s="18"/>
      <c r="G99" s="18"/>
      <c r="H99" s="18"/>
      <c r="I99" s="248"/>
    </row>
    <row r="100" spans="1:9" ht="15" thickBot="1">
      <c r="A100" s="272" t="s">
        <v>487</v>
      </c>
      <c r="B100" s="265"/>
      <c r="C100" s="280"/>
      <c r="D100" s="265"/>
      <c r="E100" s="265"/>
      <c r="F100" s="265"/>
      <c r="G100" s="265"/>
      <c r="H100" s="265"/>
      <c r="I100" s="266"/>
    </row>
  </sheetData>
  <pageMargins left="0.7" right="0.7" top="0.75" bottom="0.75" header="0.3" footer="0.3"/>
  <pageSetup scale="35"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3CBC-B1DB-4711-B588-63E93E1539CA}">
  <sheetPr>
    <pageSetUpPr fitToPage="1"/>
  </sheetPr>
  <dimension ref="A1:O35"/>
  <sheetViews>
    <sheetView view="pageBreakPreview" zoomScale="60" zoomScaleNormal="130" workbookViewId="0"/>
  </sheetViews>
  <sheetFormatPr baseColWidth="10" defaultColWidth="8.75" defaultRowHeight="14"/>
  <cols>
    <col min="1" max="1" width="15" style="186" bestFit="1" customWidth="1"/>
    <col min="2" max="2" width="12.25" style="186" bestFit="1" customWidth="1"/>
    <col min="3" max="3" width="12" style="186" bestFit="1" customWidth="1"/>
    <col min="4" max="4" width="12.25" style="186" bestFit="1" customWidth="1"/>
    <col min="5" max="5" width="12.375" style="186" bestFit="1" customWidth="1"/>
    <col min="6" max="6" width="12.125" style="186" bestFit="1" customWidth="1"/>
    <col min="7" max="7" width="12.25" style="186" bestFit="1" customWidth="1"/>
    <col min="8" max="8" width="12.375" style="186" bestFit="1" customWidth="1"/>
    <col min="9" max="9" width="12.125" style="186" bestFit="1" customWidth="1"/>
    <col min="10" max="10" width="12.25" style="186" bestFit="1" customWidth="1"/>
    <col min="11" max="11" width="12.375" style="186" bestFit="1" customWidth="1"/>
    <col min="12" max="12" width="12.125" style="186" bestFit="1" customWidth="1"/>
    <col min="13" max="13" width="12.25" style="186" bestFit="1" customWidth="1"/>
    <col min="14" max="14" width="12" style="186" bestFit="1" customWidth="1"/>
    <col min="15" max="15" width="11.625" style="186" bestFit="1" customWidth="1"/>
    <col min="16" max="16384" width="8.75" style="186"/>
  </cols>
  <sheetData>
    <row r="1" spans="1:15" ht="30">
      <c r="A1" s="184" t="s">
        <v>527</v>
      </c>
      <c r="B1" s="185"/>
      <c r="C1" s="185"/>
      <c r="D1" s="185"/>
      <c r="E1" s="185"/>
      <c r="F1" s="185"/>
      <c r="G1" s="185"/>
      <c r="H1" s="185"/>
      <c r="I1" s="185"/>
      <c r="J1" s="185"/>
      <c r="K1" s="185"/>
      <c r="L1" s="185"/>
      <c r="M1" s="185"/>
      <c r="N1" s="185"/>
      <c r="O1" s="185"/>
    </row>
    <row r="3" spans="1:15">
      <c r="A3" s="186" t="s">
        <v>528</v>
      </c>
      <c r="B3" s="193">
        <f>'Trading Comps'!B7</f>
        <v>221.35</v>
      </c>
    </row>
    <row r="4" spans="1:15" ht="15" thickBot="1"/>
    <row r="5" spans="1:15" ht="15" thickBot="1">
      <c r="B5" s="281" t="s">
        <v>529</v>
      </c>
      <c r="C5" s="282"/>
      <c r="D5" s="282"/>
      <c r="E5" s="282"/>
      <c r="F5" s="282"/>
      <c r="G5" s="282"/>
      <c r="H5" s="282"/>
      <c r="I5" s="283"/>
    </row>
    <row r="6" spans="1:15" ht="15" thickBot="1">
      <c r="A6" s="195" t="s">
        <v>530</v>
      </c>
      <c r="B6" s="284">
        <v>2</v>
      </c>
      <c r="C6" s="285">
        <f>B6+0.5</f>
        <v>2.5</v>
      </c>
      <c r="D6" s="285">
        <f t="shared" ref="D6:I6" si="0">C6+0.5</f>
        <v>3</v>
      </c>
      <c r="E6" s="285">
        <f t="shared" si="0"/>
        <v>3.5</v>
      </c>
      <c r="F6" s="285">
        <f t="shared" si="0"/>
        <v>4</v>
      </c>
      <c r="G6" s="285">
        <f t="shared" si="0"/>
        <v>4.5</v>
      </c>
      <c r="H6" s="285">
        <f t="shared" si="0"/>
        <v>5</v>
      </c>
      <c r="I6" s="285">
        <f t="shared" si="0"/>
        <v>5.5</v>
      </c>
    </row>
    <row r="7" spans="1:15">
      <c r="A7" s="186" t="s">
        <v>531</v>
      </c>
      <c r="B7" s="201">
        <f>'Trading Comps'!$B$25</f>
        <v>603636</v>
      </c>
      <c r="C7" s="201">
        <f>B7</f>
        <v>603636</v>
      </c>
      <c r="D7" s="201">
        <f t="shared" ref="D7:I7" si="1">C7</f>
        <v>603636</v>
      </c>
      <c r="E7" s="201">
        <f t="shared" si="1"/>
        <v>603636</v>
      </c>
      <c r="F7" s="201">
        <f t="shared" si="1"/>
        <v>603636</v>
      </c>
      <c r="G7" s="201">
        <f t="shared" si="1"/>
        <v>603636</v>
      </c>
      <c r="H7" s="201">
        <f t="shared" si="1"/>
        <v>603636</v>
      </c>
      <c r="I7" s="201">
        <f t="shared" si="1"/>
        <v>603636</v>
      </c>
    </row>
    <row r="8" spans="1:15">
      <c r="A8" s="195" t="s">
        <v>389</v>
      </c>
      <c r="B8" s="208">
        <f>B6*B7</f>
        <v>1207272</v>
      </c>
      <c r="C8" s="208">
        <f>C6*C7</f>
        <v>1509090</v>
      </c>
      <c r="D8" s="208">
        <f t="shared" ref="D8:I8" si="2">D6*D7</f>
        <v>1810908</v>
      </c>
      <c r="E8" s="208">
        <f t="shared" si="2"/>
        <v>2112726</v>
      </c>
      <c r="F8" s="208">
        <f t="shared" si="2"/>
        <v>2414544</v>
      </c>
      <c r="G8" s="208">
        <f t="shared" si="2"/>
        <v>2716362</v>
      </c>
      <c r="H8" s="208">
        <f t="shared" si="2"/>
        <v>3018180</v>
      </c>
      <c r="I8" s="208">
        <f t="shared" si="2"/>
        <v>3319998</v>
      </c>
      <c r="J8" s="208"/>
    </row>
    <row r="9" spans="1:15">
      <c r="A9" s="186" t="s">
        <v>532</v>
      </c>
      <c r="B9" s="194">
        <f>'Trading Comps'!$B$11</f>
        <v>13546.239</v>
      </c>
      <c r="C9" s="194">
        <f>B9</f>
        <v>13546.239</v>
      </c>
      <c r="D9" s="194">
        <f t="shared" ref="D9:I9" si="3">C9</f>
        <v>13546.239</v>
      </c>
      <c r="E9" s="194">
        <f t="shared" si="3"/>
        <v>13546.239</v>
      </c>
      <c r="F9" s="194">
        <f t="shared" si="3"/>
        <v>13546.239</v>
      </c>
      <c r="G9" s="194">
        <f t="shared" si="3"/>
        <v>13546.239</v>
      </c>
      <c r="H9" s="194">
        <f t="shared" si="3"/>
        <v>13546.239</v>
      </c>
      <c r="I9" s="194">
        <f t="shared" si="3"/>
        <v>13546.239</v>
      </c>
      <c r="J9" s="208"/>
    </row>
    <row r="10" spans="1:15">
      <c r="A10" s="195" t="s">
        <v>391</v>
      </c>
      <c r="B10" s="286">
        <f>B8/B9</f>
        <v>89.122301769516994</v>
      </c>
      <c r="C10" s="286">
        <f>C8/C9</f>
        <v>111.40287721189624</v>
      </c>
      <c r="D10" s="286">
        <f t="shared" ref="D10:I10" si="4">D8/D9</f>
        <v>133.68345265427547</v>
      </c>
      <c r="E10" s="286">
        <f t="shared" si="4"/>
        <v>155.96402809665474</v>
      </c>
      <c r="F10" s="286">
        <f t="shared" si="4"/>
        <v>178.24460353903399</v>
      </c>
      <c r="G10" s="286">
        <f t="shared" si="4"/>
        <v>200.52517898141323</v>
      </c>
      <c r="H10" s="286">
        <f t="shared" si="4"/>
        <v>222.80575442379248</v>
      </c>
      <c r="I10" s="286">
        <f t="shared" si="4"/>
        <v>245.08632986617172</v>
      </c>
      <c r="J10" s="208"/>
    </row>
    <row r="11" spans="1:15" ht="15" thickBot="1">
      <c r="J11" s="208"/>
    </row>
    <row r="12" spans="1:15" ht="15" thickBot="1">
      <c r="A12" s="18"/>
      <c r="B12" s="54" t="s">
        <v>576</v>
      </c>
      <c r="C12" s="296"/>
      <c r="D12" s="296"/>
      <c r="E12" s="296"/>
      <c r="F12" s="296"/>
      <c r="G12" s="296"/>
      <c r="H12" s="296"/>
      <c r="I12" s="296"/>
      <c r="J12" s="296"/>
      <c r="K12" s="296"/>
      <c r="L12" s="297"/>
    </row>
    <row r="13" spans="1:15" ht="15" thickBot="1">
      <c r="A13" s="1" t="s">
        <v>534</v>
      </c>
      <c r="B13" s="299">
        <v>15</v>
      </c>
      <c r="C13" s="298">
        <f>B13+1.5</f>
        <v>16.5</v>
      </c>
      <c r="D13" s="298">
        <f t="shared" ref="D13:L13" si="5">C13+1.5</f>
        <v>18</v>
      </c>
      <c r="E13" s="298">
        <f t="shared" si="5"/>
        <v>19.5</v>
      </c>
      <c r="F13" s="298">
        <f t="shared" si="5"/>
        <v>21</v>
      </c>
      <c r="G13" s="298">
        <f t="shared" si="5"/>
        <v>22.5</v>
      </c>
      <c r="H13" s="298">
        <f t="shared" si="5"/>
        <v>24</v>
      </c>
      <c r="I13" s="298">
        <f t="shared" si="5"/>
        <v>25.5</v>
      </c>
      <c r="J13" s="298">
        <f t="shared" si="5"/>
        <v>27</v>
      </c>
      <c r="K13" s="298">
        <f t="shared" si="5"/>
        <v>28.5</v>
      </c>
      <c r="L13" s="298">
        <f t="shared" si="5"/>
        <v>30</v>
      </c>
    </row>
    <row r="14" spans="1:15">
      <c r="A14" s="18" t="s">
        <v>535</v>
      </c>
      <c r="B14" s="201">
        <f>'Trading Comps'!$B$29</f>
        <v>106559</v>
      </c>
      <c r="C14" s="201">
        <f>B14</f>
        <v>106559</v>
      </c>
      <c r="D14" s="201">
        <f t="shared" ref="D14:L14" si="6">C14</f>
        <v>106559</v>
      </c>
      <c r="E14" s="201">
        <f t="shared" si="6"/>
        <v>106559</v>
      </c>
      <c r="F14" s="201">
        <f t="shared" si="6"/>
        <v>106559</v>
      </c>
      <c r="G14" s="201">
        <f t="shared" si="6"/>
        <v>106559</v>
      </c>
      <c r="H14" s="201">
        <f t="shared" si="6"/>
        <v>106559</v>
      </c>
      <c r="I14" s="201">
        <f t="shared" si="6"/>
        <v>106559</v>
      </c>
      <c r="J14" s="201">
        <f t="shared" si="6"/>
        <v>106559</v>
      </c>
      <c r="K14" s="201">
        <f t="shared" si="6"/>
        <v>106559</v>
      </c>
      <c r="L14" s="201">
        <f t="shared" si="6"/>
        <v>106559</v>
      </c>
    </row>
    <row r="15" spans="1:15">
      <c r="A15" s="1" t="s">
        <v>426</v>
      </c>
      <c r="B15" s="208">
        <f>B13*B14</f>
        <v>1598385</v>
      </c>
      <c r="C15" s="208">
        <f>C13*C14</f>
        <v>1758223.5</v>
      </c>
      <c r="D15" s="208">
        <f t="shared" ref="D15:L15" si="7">D13*D14</f>
        <v>1918062</v>
      </c>
      <c r="E15" s="208">
        <f t="shared" si="7"/>
        <v>2077900.5</v>
      </c>
      <c r="F15" s="208">
        <f t="shared" si="7"/>
        <v>2237739</v>
      </c>
      <c r="G15" s="208">
        <f t="shared" si="7"/>
        <v>2397577.5</v>
      </c>
      <c r="H15" s="208">
        <f t="shared" si="7"/>
        <v>2557416</v>
      </c>
      <c r="I15" s="208">
        <f t="shared" si="7"/>
        <v>2717254.5</v>
      </c>
      <c r="J15" s="208">
        <f t="shared" si="7"/>
        <v>2877093</v>
      </c>
      <c r="K15" s="208">
        <f t="shared" si="7"/>
        <v>3036931.5</v>
      </c>
      <c r="L15" s="208">
        <f t="shared" si="7"/>
        <v>3196770</v>
      </c>
    </row>
    <row r="16" spans="1:15">
      <c r="A16" s="18" t="s">
        <v>424</v>
      </c>
      <c r="B16" s="194">
        <f>'Trading Comps'!$B$17</f>
        <v>53067</v>
      </c>
      <c r="C16" s="194">
        <f>B16</f>
        <v>53067</v>
      </c>
      <c r="D16" s="194">
        <f t="shared" ref="D16:L16" si="8">C16</f>
        <v>53067</v>
      </c>
      <c r="E16" s="194">
        <f t="shared" si="8"/>
        <v>53067</v>
      </c>
      <c r="F16" s="194">
        <f t="shared" si="8"/>
        <v>53067</v>
      </c>
      <c r="G16" s="194">
        <f t="shared" si="8"/>
        <v>53067</v>
      </c>
      <c r="H16" s="194">
        <f t="shared" si="8"/>
        <v>53067</v>
      </c>
      <c r="I16" s="194">
        <f t="shared" si="8"/>
        <v>53067</v>
      </c>
      <c r="J16" s="194">
        <f t="shared" si="8"/>
        <v>53067</v>
      </c>
      <c r="K16" s="194">
        <f t="shared" si="8"/>
        <v>53067</v>
      </c>
      <c r="L16" s="194">
        <f t="shared" si="8"/>
        <v>53067</v>
      </c>
    </row>
    <row r="17" spans="1:15">
      <c r="A17" s="1" t="s">
        <v>389</v>
      </c>
      <c r="B17" s="208">
        <f>B15-B16</f>
        <v>1545318</v>
      </c>
      <c r="C17" s="208">
        <f>C15-C16</f>
        <v>1705156.5</v>
      </c>
      <c r="D17" s="208">
        <f t="shared" ref="D17:L17" si="9">D15-D16</f>
        <v>1864995</v>
      </c>
      <c r="E17" s="208">
        <f t="shared" si="9"/>
        <v>2024833.5</v>
      </c>
      <c r="F17" s="208">
        <f t="shared" si="9"/>
        <v>2184672</v>
      </c>
      <c r="G17" s="208">
        <f t="shared" si="9"/>
        <v>2344510.5</v>
      </c>
      <c r="H17" s="208">
        <f t="shared" si="9"/>
        <v>2504349</v>
      </c>
      <c r="I17" s="208">
        <f t="shared" si="9"/>
        <v>2664187.5</v>
      </c>
      <c r="J17" s="208">
        <f t="shared" si="9"/>
        <v>2824026</v>
      </c>
      <c r="K17" s="208">
        <f t="shared" si="9"/>
        <v>2983864.5</v>
      </c>
      <c r="L17" s="208">
        <f t="shared" si="9"/>
        <v>3143703</v>
      </c>
    </row>
    <row r="18" spans="1:15">
      <c r="A18" s="18" t="s">
        <v>532</v>
      </c>
      <c r="B18" s="194">
        <f>'Trading Comps'!$B$11</f>
        <v>13546.239</v>
      </c>
      <c r="C18" s="194">
        <f>B18</f>
        <v>13546.239</v>
      </c>
      <c r="D18" s="194">
        <f t="shared" ref="D18:L18" si="10">C18</f>
        <v>13546.239</v>
      </c>
      <c r="E18" s="194">
        <f t="shared" si="10"/>
        <v>13546.239</v>
      </c>
      <c r="F18" s="194">
        <f t="shared" si="10"/>
        <v>13546.239</v>
      </c>
      <c r="G18" s="194">
        <f t="shared" si="10"/>
        <v>13546.239</v>
      </c>
      <c r="H18" s="194">
        <f t="shared" si="10"/>
        <v>13546.239</v>
      </c>
      <c r="I18" s="194">
        <f t="shared" si="10"/>
        <v>13546.239</v>
      </c>
      <c r="J18" s="194">
        <f t="shared" si="10"/>
        <v>13546.239</v>
      </c>
      <c r="K18" s="194">
        <f t="shared" si="10"/>
        <v>13546.239</v>
      </c>
      <c r="L18" s="194">
        <f t="shared" si="10"/>
        <v>13546.239</v>
      </c>
    </row>
    <row r="19" spans="1:15">
      <c r="A19" s="1" t="s">
        <v>391</v>
      </c>
      <c r="B19" s="286">
        <f>B17/B18</f>
        <v>114.07727266586689</v>
      </c>
      <c r="C19" s="286">
        <f>C17/C18</f>
        <v>125.8767470439581</v>
      </c>
      <c r="D19" s="286">
        <f t="shared" ref="D19:L19" si="11">D17/D18</f>
        <v>137.67622142204934</v>
      </c>
      <c r="E19" s="286">
        <f t="shared" si="11"/>
        <v>149.47569580014056</v>
      </c>
      <c r="F19" s="286">
        <f t="shared" si="11"/>
        <v>161.27517017823178</v>
      </c>
      <c r="G19" s="286">
        <f t="shared" si="11"/>
        <v>173.07464455632299</v>
      </c>
      <c r="H19" s="286">
        <f t="shared" si="11"/>
        <v>184.87411893441421</v>
      </c>
      <c r="I19" s="286">
        <f t="shared" si="11"/>
        <v>196.67359331250543</v>
      </c>
      <c r="J19" s="286">
        <f t="shared" si="11"/>
        <v>208.47306769059665</v>
      </c>
      <c r="K19" s="286">
        <f t="shared" si="11"/>
        <v>220.27254206868784</v>
      </c>
      <c r="L19" s="286">
        <f t="shared" si="11"/>
        <v>232.07201644677906</v>
      </c>
    </row>
    <row r="20" spans="1:15" ht="15" thickBot="1">
      <c r="A20" s="18"/>
      <c r="B20" s="18"/>
      <c r="C20" s="18"/>
      <c r="D20" s="18"/>
      <c r="E20" s="18"/>
      <c r="F20" s="18"/>
      <c r="G20" s="18"/>
      <c r="H20" s="18"/>
      <c r="I20" s="18"/>
      <c r="J20" s="18"/>
      <c r="K20" s="18"/>
      <c r="L20" s="18"/>
    </row>
    <row r="21" spans="1:15" ht="15" thickBot="1">
      <c r="A21" s="18"/>
      <c r="B21" s="54" t="s">
        <v>577</v>
      </c>
      <c r="C21" s="296"/>
      <c r="D21" s="296"/>
      <c r="E21" s="296"/>
      <c r="F21" s="296"/>
      <c r="G21" s="296"/>
      <c r="H21" s="296"/>
      <c r="I21" s="297"/>
      <c r="J21" s="18"/>
      <c r="K21" s="18"/>
      <c r="L21" s="18"/>
    </row>
    <row r="22" spans="1:15" ht="15" thickBot="1">
      <c r="A22" s="1" t="s">
        <v>530</v>
      </c>
      <c r="B22" s="299">
        <v>0.3</v>
      </c>
      <c r="C22" s="298">
        <f>B22+0.2</f>
        <v>0.5</v>
      </c>
      <c r="D22" s="298">
        <f t="shared" ref="D22:I22" si="12">C22+0.2</f>
        <v>0.7</v>
      </c>
      <c r="E22" s="298">
        <f t="shared" si="12"/>
        <v>0.89999999999999991</v>
      </c>
      <c r="F22" s="298">
        <f t="shared" si="12"/>
        <v>1.0999999999999999</v>
      </c>
      <c r="G22" s="298">
        <f t="shared" si="12"/>
        <v>1.2999999999999998</v>
      </c>
      <c r="H22" s="298">
        <f t="shared" si="12"/>
        <v>1.4999999999999998</v>
      </c>
      <c r="I22" s="298">
        <f t="shared" si="12"/>
        <v>1.6999999999999997</v>
      </c>
      <c r="J22" s="18"/>
      <c r="K22" s="18"/>
      <c r="L22" s="18"/>
    </row>
    <row r="23" spans="1:15">
      <c r="A23" s="18" t="s">
        <v>531</v>
      </c>
      <c r="B23" s="201">
        <f>'Trading Comps'!$B$25</f>
        <v>603636</v>
      </c>
      <c r="C23" s="201">
        <f>B23</f>
        <v>603636</v>
      </c>
      <c r="D23" s="201">
        <f t="shared" ref="D23:I23" si="13">C23</f>
        <v>603636</v>
      </c>
      <c r="E23" s="201">
        <f t="shared" si="13"/>
        <v>603636</v>
      </c>
      <c r="F23" s="201">
        <f t="shared" si="13"/>
        <v>603636</v>
      </c>
      <c r="G23" s="201">
        <f t="shared" si="13"/>
        <v>603636</v>
      </c>
      <c r="H23" s="201">
        <f t="shared" si="13"/>
        <v>603636</v>
      </c>
      <c r="I23" s="201">
        <f t="shared" si="13"/>
        <v>603636</v>
      </c>
      <c r="J23" s="18"/>
      <c r="K23" s="18"/>
      <c r="L23" s="18"/>
    </row>
    <row r="24" spans="1:15">
      <c r="A24" s="1" t="s">
        <v>389</v>
      </c>
      <c r="B24" s="208">
        <f>B22*B23</f>
        <v>181090.8</v>
      </c>
      <c r="C24" s="208">
        <f>C22*C23</f>
        <v>301818</v>
      </c>
      <c r="D24" s="208">
        <f t="shared" ref="D24:I24" si="14">D22*D23</f>
        <v>422545.19999999995</v>
      </c>
      <c r="E24" s="208">
        <f t="shared" si="14"/>
        <v>543272.39999999991</v>
      </c>
      <c r="F24" s="208">
        <f t="shared" si="14"/>
        <v>663999.6</v>
      </c>
      <c r="G24" s="208">
        <f t="shared" si="14"/>
        <v>784726.79999999993</v>
      </c>
      <c r="H24" s="208">
        <f t="shared" si="14"/>
        <v>905453.99999999988</v>
      </c>
      <c r="I24" s="208">
        <f t="shared" si="14"/>
        <v>1026181.1999999998</v>
      </c>
      <c r="J24" s="18"/>
      <c r="K24" s="18"/>
      <c r="L24" s="18"/>
    </row>
    <row r="25" spans="1:15">
      <c r="A25" s="18" t="s">
        <v>532</v>
      </c>
      <c r="B25" s="194">
        <f>'Trading Comps'!$B$11</f>
        <v>13546.239</v>
      </c>
      <c r="C25" s="194">
        <f>B25</f>
        <v>13546.239</v>
      </c>
      <c r="D25" s="194">
        <f t="shared" ref="D25:I25" si="15">C25</f>
        <v>13546.239</v>
      </c>
      <c r="E25" s="194">
        <f t="shared" si="15"/>
        <v>13546.239</v>
      </c>
      <c r="F25" s="194">
        <f t="shared" si="15"/>
        <v>13546.239</v>
      </c>
      <c r="G25" s="194">
        <f t="shared" si="15"/>
        <v>13546.239</v>
      </c>
      <c r="H25" s="194">
        <f t="shared" si="15"/>
        <v>13546.239</v>
      </c>
      <c r="I25" s="194">
        <f t="shared" si="15"/>
        <v>13546.239</v>
      </c>
      <c r="J25" s="18"/>
      <c r="K25" s="18"/>
      <c r="L25" s="18"/>
    </row>
    <row r="26" spans="1:15">
      <c r="A26" s="1" t="s">
        <v>391</v>
      </c>
      <c r="B26" s="286">
        <f>B24/B25</f>
        <v>13.368345265427548</v>
      </c>
      <c r="C26" s="286">
        <f>C24/C25</f>
        <v>22.280575442379249</v>
      </c>
      <c r="D26" s="286">
        <f t="shared" ref="D26:I26" si="16">D24/D25</f>
        <v>31.192805619330944</v>
      </c>
      <c r="E26" s="286">
        <f t="shared" si="16"/>
        <v>40.105035796282635</v>
      </c>
      <c r="F26" s="286">
        <f t="shared" si="16"/>
        <v>49.017265973234345</v>
      </c>
      <c r="G26" s="286">
        <f t="shared" si="16"/>
        <v>57.92949615018604</v>
      </c>
      <c r="H26" s="286">
        <f t="shared" si="16"/>
        <v>66.841726327137735</v>
      </c>
      <c r="I26" s="286">
        <f t="shared" si="16"/>
        <v>75.75395650408943</v>
      </c>
      <c r="J26" s="18"/>
      <c r="K26" s="18"/>
      <c r="L26" s="18"/>
    </row>
    <row r="27" spans="1:15" ht="15" thickBot="1">
      <c r="J27" s="18"/>
      <c r="K27" s="18"/>
      <c r="L27" s="18"/>
    </row>
    <row r="28" spans="1:15" ht="15" thickBot="1">
      <c r="B28" s="281" t="s">
        <v>533</v>
      </c>
      <c r="C28" s="282"/>
      <c r="D28" s="282"/>
      <c r="E28" s="282"/>
      <c r="F28" s="282"/>
      <c r="G28" s="282"/>
      <c r="H28" s="282"/>
      <c r="I28" s="282"/>
      <c r="J28" s="282"/>
      <c r="K28" s="282"/>
      <c r="L28" s="282"/>
      <c r="M28" s="282"/>
      <c r="N28" s="282"/>
      <c r="O28" s="283"/>
    </row>
    <row r="29" spans="1:15" ht="15" thickBot="1">
      <c r="A29" s="195" t="s">
        <v>534</v>
      </c>
      <c r="B29" s="284">
        <v>7.25</v>
      </c>
      <c r="C29" s="285">
        <f>B29+0.25</f>
        <v>7.5</v>
      </c>
      <c r="D29" s="285">
        <f t="shared" ref="D29:O29" si="17">C29+0.25</f>
        <v>7.75</v>
      </c>
      <c r="E29" s="285">
        <f t="shared" si="17"/>
        <v>8</v>
      </c>
      <c r="F29" s="285">
        <f t="shared" si="17"/>
        <v>8.25</v>
      </c>
      <c r="G29" s="285">
        <f t="shared" si="17"/>
        <v>8.5</v>
      </c>
      <c r="H29" s="285">
        <f t="shared" si="17"/>
        <v>8.75</v>
      </c>
      <c r="I29" s="285">
        <f t="shared" si="17"/>
        <v>9</v>
      </c>
      <c r="J29" s="285">
        <f t="shared" si="17"/>
        <v>9.25</v>
      </c>
      <c r="K29" s="285">
        <f t="shared" si="17"/>
        <v>9.5</v>
      </c>
      <c r="L29" s="285">
        <f t="shared" si="17"/>
        <v>9.75</v>
      </c>
      <c r="M29" s="285">
        <f t="shared" si="17"/>
        <v>10</v>
      </c>
      <c r="N29" s="285">
        <f t="shared" si="17"/>
        <v>10.25</v>
      </c>
      <c r="O29" s="285">
        <f t="shared" si="17"/>
        <v>10.5</v>
      </c>
    </row>
    <row r="30" spans="1:15">
      <c r="A30" s="186" t="s">
        <v>535</v>
      </c>
      <c r="B30" s="201">
        <f>'Trading Comps'!$B$29</f>
        <v>106559</v>
      </c>
      <c r="C30" s="201">
        <f>B30</f>
        <v>106559</v>
      </c>
      <c r="D30" s="201">
        <f t="shared" ref="D30:O30" si="18">C30</f>
        <v>106559</v>
      </c>
      <c r="E30" s="201">
        <f t="shared" si="18"/>
        <v>106559</v>
      </c>
      <c r="F30" s="201">
        <f t="shared" si="18"/>
        <v>106559</v>
      </c>
      <c r="G30" s="201">
        <f t="shared" si="18"/>
        <v>106559</v>
      </c>
      <c r="H30" s="201">
        <f t="shared" si="18"/>
        <v>106559</v>
      </c>
      <c r="I30" s="201">
        <f t="shared" si="18"/>
        <v>106559</v>
      </c>
      <c r="J30" s="201">
        <f t="shared" si="18"/>
        <v>106559</v>
      </c>
      <c r="K30" s="201">
        <f t="shared" si="18"/>
        <v>106559</v>
      </c>
      <c r="L30" s="201">
        <f t="shared" si="18"/>
        <v>106559</v>
      </c>
      <c r="M30" s="201">
        <f t="shared" si="18"/>
        <v>106559</v>
      </c>
      <c r="N30" s="201">
        <f t="shared" si="18"/>
        <v>106559</v>
      </c>
      <c r="O30" s="201">
        <f t="shared" si="18"/>
        <v>106559</v>
      </c>
    </row>
    <row r="31" spans="1:15">
      <c r="A31" s="195" t="s">
        <v>426</v>
      </c>
      <c r="B31" s="208">
        <f>B29*B30</f>
        <v>772552.75</v>
      </c>
      <c r="C31" s="208">
        <f>C29*C30</f>
        <v>799192.5</v>
      </c>
      <c r="D31" s="208">
        <f t="shared" ref="D31:O31" si="19">D29*D30</f>
        <v>825832.25</v>
      </c>
      <c r="E31" s="208">
        <f t="shared" si="19"/>
        <v>852472</v>
      </c>
      <c r="F31" s="208">
        <f t="shared" si="19"/>
        <v>879111.75</v>
      </c>
      <c r="G31" s="208">
        <f t="shared" si="19"/>
        <v>905751.5</v>
      </c>
      <c r="H31" s="208">
        <f t="shared" si="19"/>
        <v>932391.25</v>
      </c>
      <c r="I31" s="208">
        <f t="shared" si="19"/>
        <v>959031</v>
      </c>
      <c r="J31" s="208">
        <f t="shared" si="19"/>
        <v>985670.75</v>
      </c>
      <c r="K31" s="208">
        <f t="shared" si="19"/>
        <v>1012310.5</v>
      </c>
      <c r="L31" s="208">
        <f t="shared" si="19"/>
        <v>1038950.25</v>
      </c>
      <c r="M31" s="208">
        <f t="shared" si="19"/>
        <v>1065590</v>
      </c>
      <c r="N31" s="208">
        <f t="shared" si="19"/>
        <v>1092229.75</v>
      </c>
      <c r="O31" s="208">
        <f t="shared" si="19"/>
        <v>1118869.5</v>
      </c>
    </row>
    <row r="32" spans="1:15">
      <c r="A32" s="186" t="s">
        <v>424</v>
      </c>
      <c r="B32" s="194">
        <f>'Trading Comps'!$B$17</f>
        <v>53067</v>
      </c>
      <c r="C32" s="194">
        <f>B32</f>
        <v>53067</v>
      </c>
      <c r="D32" s="194">
        <f t="shared" ref="D32:O32" si="20">C32</f>
        <v>53067</v>
      </c>
      <c r="E32" s="194">
        <f t="shared" si="20"/>
        <v>53067</v>
      </c>
      <c r="F32" s="194">
        <f t="shared" si="20"/>
        <v>53067</v>
      </c>
      <c r="G32" s="194">
        <f t="shared" si="20"/>
        <v>53067</v>
      </c>
      <c r="H32" s="194">
        <f t="shared" si="20"/>
        <v>53067</v>
      </c>
      <c r="I32" s="194">
        <f t="shared" si="20"/>
        <v>53067</v>
      </c>
      <c r="J32" s="194">
        <f t="shared" si="20"/>
        <v>53067</v>
      </c>
      <c r="K32" s="194">
        <f t="shared" si="20"/>
        <v>53067</v>
      </c>
      <c r="L32" s="194">
        <f t="shared" si="20"/>
        <v>53067</v>
      </c>
      <c r="M32" s="194">
        <f t="shared" si="20"/>
        <v>53067</v>
      </c>
      <c r="N32" s="194">
        <f t="shared" si="20"/>
        <v>53067</v>
      </c>
      <c r="O32" s="194">
        <f t="shared" si="20"/>
        <v>53067</v>
      </c>
    </row>
    <row r="33" spans="1:15">
      <c r="A33" s="195" t="s">
        <v>389</v>
      </c>
      <c r="B33" s="208">
        <f>B31-B32</f>
        <v>719485.75</v>
      </c>
      <c r="C33" s="208">
        <f>C31-C32</f>
        <v>746125.5</v>
      </c>
      <c r="D33" s="208">
        <f t="shared" ref="D33:O33" si="21">D31-D32</f>
        <v>772765.25</v>
      </c>
      <c r="E33" s="208">
        <f t="shared" si="21"/>
        <v>799405</v>
      </c>
      <c r="F33" s="208">
        <f t="shared" si="21"/>
        <v>826044.75</v>
      </c>
      <c r="G33" s="208">
        <f t="shared" si="21"/>
        <v>852684.5</v>
      </c>
      <c r="H33" s="208">
        <f t="shared" si="21"/>
        <v>879324.25</v>
      </c>
      <c r="I33" s="208">
        <f t="shared" si="21"/>
        <v>905964</v>
      </c>
      <c r="J33" s="208">
        <f t="shared" si="21"/>
        <v>932603.75</v>
      </c>
      <c r="K33" s="208">
        <f t="shared" si="21"/>
        <v>959243.5</v>
      </c>
      <c r="L33" s="208">
        <f t="shared" si="21"/>
        <v>985883.25</v>
      </c>
      <c r="M33" s="208">
        <f t="shared" si="21"/>
        <v>1012523</v>
      </c>
      <c r="N33" s="208">
        <f t="shared" si="21"/>
        <v>1039162.75</v>
      </c>
      <c r="O33" s="208">
        <f t="shared" si="21"/>
        <v>1065802.5</v>
      </c>
    </row>
    <row r="34" spans="1:15">
      <c r="A34" s="186" t="s">
        <v>532</v>
      </c>
      <c r="B34" s="194">
        <f>'Trading Comps'!$B$11</f>
        <v>13546.239</v>
      </c>
      <c r="C34" s="194">
        <f>B34</f>
        <v>13546.239</v>
      </c>
      <c r="D34" s="194">
        <f t="shared" ref="D34:O34" si="22">C34</f>
        <v>13546.239</v>
      </c>
      <c r="E34" s="194">
        <f t="shared" si="22"/>
        <v>13546.239</v>
      </c>
      <c r="F34" s="194">
        <f t="shared" si="22"/>
        <v>13546.239</v>
      </c>
      <c r="G34" s="194">
        <f t="shared" si="22"/>
        <v>13546.239</v>
      </c>
      <c r="H34" s="194">
        <f t="shared" si="22"/>
        <v>13546.239</v>
      </c>
      <c r="I34" s="194">
        <f t="shared" si="22"/>
        <v>13546.239</v>
      </c>
      <c r="J34" s="194">
        <f t="shared" si="22"/>
        <v>13546.239</v>
      </c>
      <c r="K34" s="194">
        <f t="shared" si="22"/>
        <v>13546.239</v>
      </c>
      <c r="L34" s="194">
        <f t="shared" si="22"/>
        <v>13546.239</v>
      </c>
      <c r="M34" s="194">
        <f t="shared" si="22"/>
        <v>13546.239</v>
      </c>
      <c r="N34" s="194">
        <f t="shared" si="22"/>
        <v>13546.239</v>
      </c>
      <c r="O34" s="194">
        <f t="shared" si="22"/>
        <v>13546.239</v>
      </c>
    </row>
    <row r="35" spans="1:15">
      <c r="A35" s="195" t="s">
        <v>391</v>
      </c>
      <c r="B35" s="286">
        <f>B33/B34</f>
        <v>53.113321712395596</v>
      </c>
      <c r="C35" s="286">
        <f>C33/C34</f>
        <v>55.079900775410799</v>
      </c>
      <c r="D35" s="286">
        <f t="shared" ref="D35:O35" si="23">D33/D34</f>
        <v>57.046479838426002</v>
      </c>
      <c r="E35" s="286">
        <f t="shared" si="23"/>
        <v>59.013058901441205</v>
      </c>
      <c r="F35" s="286">
        <f t="shared" si="23"/>
        <v>60.979637964456408</v>
      </c>
      <c r="G35" s="286">
        <f t="shared" si="23"/>
        <v>62.946217027471612</v>
      </c>
      <c r="H35" s="286">
        <f t="shared" si="23"/>
        <v>64.912796090486822</v>
      </c>
      <c r="I35" s="286">
        <f t="shared" si="23"/>
        <v>66.879375153502025</v>
      </c>
      <c r="J35" s="286">
        <f t="shared" si="23"/>
        <v>68.845954216517228</v>
      </c>
      <c r="K35" s="286">
        <f t="shared" si="23"/>
        <v>70.812533279532431</v>
      </c>
      <c r="L35" s="286">
        <f t="shared" si="23"/>
        <v>72.779112342547634</v>
      </c>
      <c r="M35" s="286">
        <f t="shared" si="23"/>
        <v>74.745691405562837</v>
      </c>
      <c r="N35" s="286">
        <f t="shared" si="23"/>
        <v>76.712270468578041</v>
      </c>
      <c r="O35" s="286">
        <f t="shared" si="23"/>
        <v>78.678849531593229</v>
      </c>
    </row>
  </sheetData>
  <conditionalFormatting sqref="B10:I10">
    <cfRule type="cellIs" dxfId="7" priority="7" operator="lessThan">
      <formula>$B$3</formula>
    </cfRule>
    <cfRule type="cellIs" dxfId="6" priority="8" operator="greaterThan">
      <formula>$B$3</formula>
    </cfRule>
  </conditionalFormatting>
  <conditionalFormatting sqref="B26:I26">
    <cfRule type="cellIs" dxfId="5" priority="1" operator="lessThan">
      <formula>$B$3</formula>
    </cfRule>
    <cfRule type="cellIs" dxfId="4" priority="2" operator="greaterThan">
      <formula>$B$3</formula>
    </cfRule>
  </conditionalFormatting>
  <conditionalFormatting sqref="B19:L19">
    <cfRule type="cellIs" dxfId="3" priority="3" operator="lessThan">
      <formula>$B$3</formula>
    </cfRule>
    <cfRule type="cellIs" dxfId="2" priority="4" operator="greaterThan">
      <formula>$B$3</formula>
    </cfRule>
  </conditionalFormatting>
  <conditionalFormatting sqref="B35:O35">
    <cfRule type="cellIs" dxfId="1" priority="5" operator="lessThan">
      <formula>$B$3</formula>
    </cfRule>
    <cfRule type="cellIs" dxfId="0" priority="6" operator="greaterThan">
      <formula>$B$3</formula>
    </cfRule>
  </conditionalFormatting>
  <pageMargins left="0.7" right="0.7" top="0.75" bottom="0.75" header="0.3" footer="0.3"/>
  <pageSetup scale="46" orientation="landscape" r:id="rId1"/>
  <ignoredErrors>
    <ignoredError sqref="C8:I8 C31:O31 C33:O33 C15:L15 C17:L17 C24:I24"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F0B7-4B3B-4FFE-89FB-2EF952E90338}">
  <sheetPr>
    <pageSetUpPr fitToPage="1"/>
  </sheetPr>
  <dimension ref="A1:J72"/>
  <sheetViews>
    <sheetView zoomScale="130" zoomScaleNormal="130" workbookViewId="0">
      <pane xSplit="1" ySplit="5" topLeftCell="C6" activePane="bottomRight" state="frozen"/>
      <selection pane="topRight" activeCell="B1" sqref="B1"/>
      <selection pane="bottomLeft" activeCell="A6" sqref="A6"/>
      <selection pane="bottomRight" activeCell="C6" sqref="C6"/>
    </sheetView>
  </sheetViews>
  <sheetFormatPr baseColWidth="10" defaultColWidth="8.75" defaultRowHeight="14" outlineLevelRow="1" outlineLevelCol="1"/>
  <cols>
    <col min="1" max="1" width="21.875" style="186" bestFit="1" customWidth="1"/>
    <col min="2" max="2" width="11.75" style="186" hidden="1" customWidth="1" outlineLevel="1"/>
    <col min="3" max="3" width="10.625" style="186" customWidth="1" collapsed="1"/>
    <col min="4" max="10" width="10.625" style="186" customWidth="1"/>
    <col min="11" max="16384" width="8.75" style="186"/>
  </cols>
  <sheetData>
    <row r="1" spans="1:10" ht="30">
      <c r="A1" s="184" t="s">
        <v>536</v>
      </c>
      <c r="B1" s="185"/>
      <c r="C1" s="185"/>
      <c r="D1" s="185"/>
      <c r="E1" s="185"/>
      <c r="F1" s="185"/>
      <c r="G1" s="185"/>
      <c r="H1" s="185"/>
      <c r="I1" s="185"/>
      <c r="J1" s="185"/>
    </row>
    <row r="2" spans="1:10">
      <c r="A2" s="187" t="s">
        <v>537</v>
      </c>
    </row>
    <row r="3" spans="1:10" ht="15" thickBot="1"/>
    <row r="4" spans="1:10" ht="15" thickBot="1">
      <c r="B4" s="220"/>
      <c r="C4" s="281" t="s">
        <v>172</v>
      </c>
      <c r="D4" s="287"/>
      <c r="E4" s="288"/>
      <c r="F4" s="281" t="s">
        <v>173</v>
      </c>
      <c r="G4" s="282"/>
      <c r="H4" s="282"/>
      <c r="I4" s="282"/>
      <c r="J4" s="283"/>
    </row>
    <row r="5" spans="1:10" ht="15" thickBot="1">
      <c r="B5" s="289">
        <v>44439</v>
      </c>
      <c r="C5" s="290">
        <v>44804</v>
      </c>
      <c r="D5" s="290">
        <v>45169</v>
      </c>
      <c r="E5" s="290">
        <v>45535</v>
      </c>
      <c r="F5" s="290">
        <v>45900</v>
      </c>
      <c r="G5" s="290">
        <v>46265</v>
      </c>
      <c r="H5" s="290">
        <v>46630</v>
      </c>
      <c r="I5" s="290">
        <v>46996</v>
      </c>
      <c r="J5" s="290">
        <v>47361</v>
      </c>
    </row>
    <row r="6" spans="1:10" ht="15" thickBot="1">
      <c r="A6" s="291" t="s">
        <v>538</v>
      </c>
    </row>
    <row r="7" spans="1:10">
      <c r="A7" s="186" t="s">
        <v>435</v>
      </c>
      <c r="B7" s="201">
        <f>'Income Statement'!J6</f>
        <v>488109</v>
      </c>
      <c r="C7" s="201">
        <f>'Income Statement'!K6</f>
        <v>518820</v>
      </c>
      <c r="D7" s="201">
        <f>'Income Statement'!L6</f>
        <v>537255</v>
      </c>
      <c r="E7" s="201">
        <f>'Income Statement'!M6</f>
        <v>590557</v>
      </c>
      <c r="F7" s="201">
        <f>'Income Statement'!N6</f>
        <v>631895.99</v>
      </c>
      <c r="G7" s="201">
        <f>'Income Statement'!O6</f>
        <v>676128.70929999999</v>
      </c>
      <c r="H7" s="201">
        <f>'Income Statement'!P6</f>
        <v>723457.71895100002</v>
      </c>
      <c r="I7" s="201">
        <f>'Income Statement'!Q6</f>
        <v>774099.75927757006</v>
      </c>
      <c r="J7" s="201">
        <f>'Income Statement'!R6</f>
        <v>828286.74242699996</v>
      </c>
    </row>
    <row r="8" spans="1:10" hidden="1" outlineLevel="1">
      <c r="A8" s="186" t="s">
        <v>539</v>
      </c>
      <c r="B8" s="194">
        <f>'Income Statement'!J7</f>
        <v>220991.07077485448</v>
      </c>
      <c r="C8" s="194">
        <f>'Income Statement'!K7</f>
        <v>259556.96467459455</v>
      </c>
      <c r="D8" s="194">
        <f>'Income Statement'!L7</f>
        <v>258535.20920762522</v>
      </c>
      <c r="E8" s="194">
        <f>'Income Statement'!M7</f>
        <v>270323.33498842525</v>
      </c>
      <c r="F8" s="194">
        <f>'Income Statement'!N7</f>
        <v>293831.63535</v>
      </c>
      <c r="G8" s="194">
        <f>'Income Statement'!O7</f>
        <v>314399.84982450004</v>
      </c>
      <c r="H8" s="194">
        <f>'Income Statement'!P7</f>
        <v>336407.83931221504</v>
      </c>
      <c r="I8" s="194">
        <f>'Income Statement'!Q7</f>
        <v>359956.38806407008</v>
      </c>
      <c r="J8" s="194">
        <f>'Income Statement'!R7</f>
        <v>385153.33522855502</v>
      </c>
    </row>
    <row r="9" spans="1:10" collapsed="1">
      <c r="A9" s="186" t="s">
        <v>540</v>
      </c>
      <c r="B9" s="205">
        <f>B7-B8</f>
        <v>267117.92922514549</v>
      </c>
      <c r="C9" s="205">
        <f t="shared" ref="C9:J9" si="0">C7-C8</f>
        <v>259263.03532540545</v>
      </c>
      <c r="D9" s="205">
        <f t="shared" si="0"/>
        <v>278719.79079237476</v>
      </c>
      <c r="E9" s="205">
        <f t="shared" si="0"/>
        <v>320233.66501157475</v>
      </c>
      <c r="F9" s="205">
        <f t="shared" si="0"/>
        <v>338064.35464999999</v>
      </c>
      <c r="G9" s="205">
        <f t="shared" si="0"/>
        <v>361728.85947549995</v>
      </c>
      <c r="H9" s="205">
        <f t="shared" si="0"/>
        <v>387049.87963878497</v>
      </c>
      <c r="I9" s="205">
        <f t="shared" si="0"/>
        <v>414143.37121349998</v>
      </c>
      <c r="J9" s="205">
        <f t="shared" si="0"/>
        <v>443133.40719844494</v>
      </c>
    </row>
    <row r="10" spans="1:10">
      <c r="A10" s="186" t="s">
        <v>63</v>
      </c>
      <c r="B10" s="194">
        <f>'Income Statement'!J11</f>
        <v>95859.999999999971</v>
      </c>
      <c r="C10" s="194">
        <f>'Income Statement'!K11</f>
        <v>95624</v>
      </c>
      <c r="D10" s="194">
        <f>'Income Statement'!L11</f>
        <v>97874.999999999971</v>
      </c>
      <c r="E10" s="194">
        <f>'Income Statement'!M11</f>
        <v>105807</v>
      </c>
      <c r="F10" s="194">
        <f>'Income Statement'!N11</f>
        <v>120060.23810000002</v>
      </c>
      <c r="G10" s="194">
        <f>'Income Statement'!O11</f>
        <v>128464.45476699996</v>
      </c>
      <c r="H10" s="194">
        <f>'Income Statement'!P11</f>
        <v>137456.96660068998</v>
      </c>
      <c r="I10" s="194">
        <f>'Income Statement'!Q11</f>
        <v>147078.95426273835</v>
      </c>
      <c r="J10" s="194">
        <f>'Income Statement'!R11</f>
        <v>157374.48106112995</v>
      </c>
    </row>
    <row r="11" spans="1:10">
      <c r="A11" s="186" t="s">
        <v>360</v>
      </c>
      <c r="B11" s="194">
        <f>'Income Statement'!J14</f>
        <v>88840.999999999971</v>
      </c>
      <c r="C11" s="194">
        <f>'Income Statement'!K14</f>
        <v>87330</v>
      </c>
      <c r="D11" s="194">
        <f>'Income Statement'!L14</f>
        <v>89723.999999999971</v>
      </c>
      <c r="E11" s="194">
        <f>'Income Statement'!M14</f>
        <v>96351</v>
      </c>
      <c r="F11" s="194">
        <f>'Income Statement'!N14</f>
        <v>109949.90226000002</v>
      </c>
      <c r="G11" s="194">
        <f>'Income Statement'!O14</f>
        <v>117646.39541819996</v>
      </c>
      <c r="H11" s="194">
        <f>'Income Statement'!P14</f>
        <v>125881.64309747398</v>
      </c>
      <c r="I11" s="194">
        <f>'Income Statement'!Q14</f>
        <v>134693.35811429724</v>
      </c>
      <c r="J11" s="194">
        <f>'Income Statement'!R14</f>
        <v>145167.6310222091</v>
      </c>
    </row>
    <row r="12" spans="1:10" hidden="1" outlineLevel="1">
      <c r="A12" s="186" t="s">
        <v>182</v>
      </c>
      <c r="B12" s="194">
        <f>-'Income Statement'!J16</f>
        <v>2395</v>
      </c>
      <c r="C12" s="194">
        <f>-'Income Statement'!K16</f>
        <v>2742</v>
      </c>
      <c r="D12" s="194">
        <f>-'Income Statement'!L16</f>
        <v>5614</v>
      </c>
      <c r="E12" s="194">
        <f>-'Income Statement'!M16</f>
        <v>4287</v>
      </c>
      <c r="F12" s="194">
        <f ca="1">-'Income Statement'!N16</f>
        <v>3440.9136000000003</v>
      </c>
      <c r="G12" s="194">
        <f ca="1">-'Income Statement'!O16</f>
        <v>3057.4928</v>
      </c>
      <c r="H12" s="194">
        <f ca="1">-'Income Statement'!P16</f>
        <v>2674.0720000000001</v>
      </c>
      <c r="I12" s="194">
        <f ca="1">-'Income Statement'!Q16</f>
        <v>1965.6511999999998</v>
      </c>
      <c r="J12" s="194">
        <f ca="1">-'Income Statement'!R16</f>
        <v>1257.2303999999999</v>
      </c>
    </row>
    <row r="13" spans="1:10" hidden="1" outlineLevel="1">
      <c r="A13" s="186" t="s">
        <v>362</v>
      </c>
      <c r="B13" s="194">
        <f>'Income Statement'!J19</f>
        <v>16270</v>
      </c>
      <c r="C13" s="194">
        <f>'Income Statement'!K19</f>
        <v>16779</v>
      </c>
      <c r="D13" s="194">
        <f>'Income Statement'!L19</f>
        <v>19170</v>
      </c>
      <c r="E13" s="194">
        <f>'Income Statement'!M19</f>
        <v>21864</v>
      </c>
      <c r="F13" s="194">
        <f ca="1">'Income Statement'!N19</f>
        <v>25108.069414277339</v>
      </c>
      <c r="G13" s="194">
        <f ca="1">'Income Statement'!O19</f>
        <v>27191.666087089405</v>
      </c>
      <c r="H13" s="194">
        <f ca="1">'Income Statement'!P19</f>
        <v>29436.653042017264</v>
      </c>
      <c r="I13" s="194">
        <f ca="1">'Income Statement'!Q19</f>
        <v>31775.19551072632</v>
      </c>
      <c r="J13" s="194">
        <f ca="1">'Income Statement'!R19</f>
        <v>34522.090899759758</v>
      </c>
    </row>
    <row r="14" spans="1:10" collapsed="1">
      <c r="A14" s="186" t="s">
        <v>131</v>
      </c>
      <c r="B14" s="194">
        <f>'Income Statement'!J20</f>
        <v>70228.999999999971</v>
      </c>
      <c r="C14" s="194">
        <f>'Income Statement'!K20</f>
        <v>67329</v>
      </c>
      <c r="D14" s="194">
        <f>'Income Statement'!L20</f>
        <v>65992.999999999971</v>
      </c>
      <c r="E14" s="194">
        <f>'Income Statement'!M20</f>
        <v>69644</v>
      </c>
      <c r="F14" s="194">
        <f ca="1">'Income Statement'!N20</f>
        <v>84057.449778232825</v>
      </c>
      <c r="G14" s="194">
        <f ca="1">'Income Statement'!O20</f>
        <v>91032.969074168883</v>
      </c>
      <c r="H14" s="194">
        <f ca="1">'Income Statement'!P20</f>
        <v>98548.794966753441</v>
      </c>
      <c r="I14" s="194">
        <f ca="1">'Income Statement'!Q20</f>
        <v>106377.82844895333</v>
      </c>
      <c r="J14" s="194">
        <f ca="1">'Income Statement'!R20</f>
        <v>115573.95649050004</v>
      </c>
    </row>
    <row r="15" spans="1:10">
      <c r="A15" s="186" t="s">
        <v>259</v>
      </c>
      <c r="B15" s="194">
        <f>WACC!J18</f>
        <v>84714</v>
      </c>
      <c r="C15" s="194">
        <f>WACC!K18</f>
        <v>2604</v>
      </c>
      <c r="D15" s="194">
        <f>WACC!L18</f>
        <v>98391</v>
      </c>
      <c r="E15" s="194">
        <f>WACC!M18</f>
        <v>92034</v>
      </c>
      <c r="F15" s="194">
        <f ca="1">'Cash Flow Statement'!F11</f>
        <v>91427.104824132824</v>
      </c>
      <c r="G15" s="194">
        <f ca="1">'Cash Flow Statement'!G11</f>
        <v>93686.110767381862</v>
      </c>
      <c r="H15" s="194">
        <f ca="1">'Cash Flow Statement'!H11</f>
        <v>101387.65657849138</v>
      </c>
      <c r="I15" s="194">
        <f ca="1">'Cash Flow Statement'!I11</f>
        <v>109415.41037351283</v>
      </c>
      <c r="J15" s="194">
        <f ca="1">'Cash Flow Statement'!J11</f>
        <v>117778.43130986766</v>
      </c>
    </row>
    <row r="16" spans="1:10">
      <c r="A16" s="186" t="s">
        <v>438</v>
      </c>
      <c r="B16" s="194">
        <f>Calcs!J20</f>
        <v>15059</v>
      </c>
      <c r="C16" s="194">
        <f>Calcs!K20</f>
        <v>8303</v>
      </c>
      <c r="D16" s="194">
        <f>Calcs!L20</f>
        <v>6871</v>
      </c>
      <c r="E16" s="194">
        <f>Calcs!M20</f>
        <v>4206</v>
      </c>
      <c r="F16" s="194">
        <f>Calcs!N20</f>
        <v>12637.9198</v>
      </c>
      <c r="G16" s="194">
        <f>Calcs!O20</f>
        <v>13522.574186</v>
      </c>
      <c r="H16" s="194">
        <f>Calcs!P20</f>
        <v>14469.154379020001</v>
      </c>
      <c r="I16" s="194">
        <f>Calcs!Q20</f>
        <v>15481.995185551401</v>
      </c>
      <c r="J16" s="194">
        <f>Calcs!R20</f>
        <v>16565.73484854</v>
      </c>
    </row>
    <row r="17" spans="1:10">
      <c r="A17" s="186" t="s">
        <v>229</v>
      </c>
      <c r="B17" s="194">
        <f>Calcs!J7</f>
        <v>38225</v>
      </c>
      <c r="C17" s="194">
        <f>Calcs!K7</f>
        <v>41988</v>
      </c>
      <c r="D17" s="194">
        <f>Calcs!L7</f>
        <v>44581</v>
      </c>
      <c r="E17" s="194">
        <f>Calcs!M7</f>
        <v>47201</v>
      </c>
      <c r="F17" s="194">
        <f ca="1">Calcs!N7</f>
        <v>47072.171875810389</v>
      </c>
      <c r="G17" s="194">
        <f ca="1">Calcs!O7</f>
        <v>50978.462681534576</v>
      </c>
      <c r="H17" s="194">
        <f ca="1">Calcs!P7</f>
        <v>55187.32518138193</v>
      </c>
      <c r="I17" s="194">
        <f ca="1">Calcs!Q7</f>
        <v>59571.583931413865</v>
      </c>
      <c r="J17" s="194">
        <f ca="1">Calcs!R7</f>
        <v>64721.41563468003</v>
      </c>
    </row>
    <row r="18" spans="1:10" hidden="1" outlineLevel="1">
      <c r="A18" s="186" t="s">
        <v>541</v>
      </c>
      <c r="B18" s="194">
        <f>'Balance Sheet PROJECTED'!J8</f>
        <v>89558</v>
      </c>
      <c r="C18" s="194">
        <f>'Balance Sheet PROJECTED'!K8</f>
        <v>89930</v>
      </c>
      <c r="D18" s="194">
        <f>'Balance Sheet PROJECTED'!L8</f>
        <v>98039</v>
      </c>
      <c r="E18" s="194">
        <f>'Balance Sheet PROJECTED'!M8</f>
        <v>117493</v>
      </c>
      <c r="F18" s="194">
        <f>'Balance Sheet PROJECTED'!N8</f>
        <v>126379.198</v>
      </c>
      <c r="G18" s="194">
        <f>'Balance Sheet PROJECTED'!O8</f>
        <v>135225.74186000001</v>
      </c>
      <c r="H18" s="194">
        <f>'Balance Sheet PROJECTED'!P8</f>
        <v>144691.5437902</v>
      </c>
      <c r="I18" s="194">
        <f>'Balance Sheet PROJECTED'!Q8</f>
        <v>154819.95185551402</v>
      </c>
      <c r="J18" s="194">
        <f>'Balance Sheet PROJECTED'!R8</f>
        <v>165657.3484854</v>
      </c>
    </row>
    <row r="19" spans="1:10" hidden="1" outlineLevel="1">
      <c r="A19" s="186" t="s">
        <v>8</v>
      </c>
      <c r="B19" s="194">
        <f>'Balance Sheet PROJECTED'!J9</f>
        <v>55752</v>
      </c>
      <c r="C19" s="194">
        <f>'Balance Sheet PROJECTED'!K9</f>
        <v>104101</v>
      </c>
      <c r="D19" s="194">
        <f>'Balance Sheet PROJECTED'!L9</f>
        <v>86522</v>
      </c>
      <c r="E19" s="194">
        <f>'Balance Sheet PROJECTED'!M9</f>
        <v>79088</v>
      </c>
      <c r="F19" s="194">
        <f>'Balance Sheet PROJECTED'!N9</f>
        <v>73457.908837499999</v>
      </c>
      <c r="G19" s="194">
        <f>'Balance Sheet PROJECTED'!O9</f>
        <v>78599.962456125009</v>
      </c>
      <c r="H19" s="194">
        <f>'Balance Sheet PROJECTED'!P9</f>
        <v>84101.959828053761</v>
      </c>
      <c r="I19" s="194">
        <f>'Balance Sheet PROJECTED'!Q9</f>
        <v>89989.09701601752</v>
      </c>
      <c r="J19" s="194">
        <f>'Balance Sheet PROJECTED'!R9</f>
        <v>96288.333807138755</v>
      </c>
    </row>
    <row r="20" spans="1:10" hidden="1" outlineLevel="1">
      <c r="A20" s="186" t="s">
        <v>542</v>
      </c>
      <c r="B20" s="194">
        <f>'Balance Sheet PROJECTED'!J22</f>
        <v>33499</v>
      </c>
      <c r="C20" s="194">
        <f>'Balance Sheet PROJECTED'!K22</f>
        <v>32852</v>
      </c>
      <c r="D20" s="194">
        <f>'Balance Sheet PROJECTED'!L22</f>
        <v>30826</v>
      </c>
      <c r="E20" s="194">
        <f>'Balance Sheet PROJECTED'!M22</f>
        <v>35960</v>
      </c>
      <c r="F20" s="194">
        <f>'Balance Sheet PROJECTED'!N22</f>
        <v>36435.122783400002</v>
      </c>
      <c r="G20" s="194">
        <f>'Balance Sheet PROJECTED'!O22</f>
        <v>38985.581378238006</v>
      </c>
      <c r="H20" s="194">
        <f>'Balance Sheet PROJECTED'!P22</f>
        <v>41714.572074714662</v>
      </c>
      <c r="I20" s="194">
        <f>'Balance Sheet PROJECTED'!Q22</f>
        <v>44634.592119944689</v>
      </c>
      <c r="J20" s="194">
        <f>'Balance Sheet PROJECTED'!R22</f>
        <v>47759.013568340823</v>
      </c>
    </row>
    <row r="21" spans="1:10" collapsed="1">
      <c r="A21" s="186" t="s">
        <v>543</v>
      </c>
      <c r="B21" s="194">
        <f>'Balance Sheet PROJECTED'!J19</f>
        <v>430203</v>
      </c>
      <c r="C21" s="194">
        <f>'Balance Sheet PROJECTED'!K19</f>
        <v>434295</v>
      </c>
      <c r="D21" s="194">
        <f>'Balance Sheet PROJECTED'!L19</f>
        <v>437966</v>
      </c>
      <c r="E21" s="194">
        <f>'Balance Sheet PROJECTED'!M19</f>
        <v>449039</v>
      </c>
      <c r="F21" s="194">
        <f ca="1">'Balance Sheet PROJECTED'!N19</f>
        <v>474748.92750582239</v>
      </c>
      <c r="G21" s="194">
        <f ca="1">'Balance Sheet PROJECTED'!O19</f>
        <v>516206.15337069466</v>
      </c>
      <c r="H21" s="194">
        <f ca="1">'Balance Sheet PROJECTED'!P19</f>
        <v>561514.2369913609</v>
      </c>
      <c r="I21" s="194">
        <f ca="1">'Balance Sheet PROJECTED'!Q19</f>
        <v>584849.06231266563</v>
      </c>
      <c r="J21" s="194">
        <f ca="1">'Balance Sheet PROJECTED'!R19</f>
        <v>638852.88862851448</v>
      </c>
    </row>
    <row r="22" spans="1:10">
      <c r="A22" s="186" t="s">
        <v>241</v>
      </c>
      <c r="B22" s="194">
        <f>'Balance Sheet PROJECTED'!J50</f>
        <v>115740</v>
      </c>
      <c r="C22" s="194">
        <f>'Balance Sheet PROJECTED'!K50</f>
        <v>146312</v>
      </c>
      <c r="D22" s="194">
        <f>'Balance Sheet PROJECTED'!L50</f>
        <v>120543</v>
      </c>
      <c r="E22" s="194">
        <f>'Balance Sheet PROJECTED'!M50</f>
        <v>94636</v>
      </c>
      <c r="F22" s="194">
        <f ca="1">'Balance Sheet PROJECTED'!N50</f>
        <v>88268.800000000003</v>
      </c>
      <c r="G22" s="194">
        <f ca="1">'Balance Sheet PROJECTED'!O50</f>
        <v>81901.600000000006</v>
      </c>
      <c r="H22" s="194">
        <f ca="1">'Balance Sheet PROJECTED'!P50</f>
        <v>75534.399999999994</v>
      </c>
      <c r="I22" s="194">
        <f ca="1">'Balance Sheet PROJECTED'!Q50</f>
        <v>43167.199999999997</v>
      </c>
      <c r="J22" s="194">
        <f ca="1">'Balance Sheet PROJECTED'!R50</f>
        <v>36800</v>
      </c>
    </row>
    <row r="23" spans="1:10">
      <c r="A23" s="186" t="s">
        <v>242</v>
      </c>
      <c r="B23" s="194">
        <f>'Balance Sheet PROJECTED'!J45</f>
        <v>200382</v>
      </c>
      <c r="C23" s="194">
        <f>'Balance Sheet PROJECTED'!K45</f>
        <v>188624</v>
      </c>
      <c r="D23" s="194">
        <f>'Balance Sheet PROJECTED'!L45</f>
        <v>210178</v>
      </c>
      <c r="E23" s="194">
        <f>'Balance Sheet PROJECTED'!M45</f>
        <v>230526</v>
      </c>
      <c r="F23" s="194">
        <f ca="1">'Balance Sheet PROJECTED'!N45</f>
        <v>260511.27790242247</v>
      </c>
      <c r="G23" s="194">
        <f ca="1">'Balance Sheet PROJECTED'!O45</f>
        <v>300565.78429505683</v>
      </c>
      <c r="H23" s="194">
        <f ca="1">'Balance Sheet PROJECTED'!P45</f>
        <v>343927.25408042839</v>
      </c>
      <c r="I23" s="194">
        <f ca="1">'Balance Sheet PROJECTED'!Q45</f>
        <v>390733.4985979679</v>
      </c>
      <c r="J23" s="194">
        <f ca="1">'Balance Sheet PROJECTED'!R45</f>
        <v>441586.03945378785</v>
      </c>
    </row>
    <row r="24" spans="1:10">
      <c r="A24" s="186" t="s">
        <v>273</v>
      </c>
      <c r="B24" s="199">
        <f>SUM(B22:B23)</f>
        <v>316122</v>
      </c>
      <c r="C24" s="199">
        <f t="shared" ref="C24:J24" si="1">SUM(C22:C23)</f>
        <v>334936</v>
      </c>
      <c r="D24" s="199">
        <f t="shared" si="1"/>
        <v>330721</v>
      </c>
      <c r="E24" s="199">
        <f t="shared" si="1"/>
        <v>325162</v>
      </c>
      <c r="F24" s="199">
        <f t="shared" ca="1" si="1"/>
        <v>348780.07790242246</v>
      </c>
      <c r="G24" s="199">
        <f t="shared" ca="1" si="1"/>
        <v>382467.38429505681</v>
      </c>
      <c r="H24" s="199">
        <f t="shared" ca="1" si="1"/>
        <v>419461.65408042842</v>
      </c>
      <c r="I24" s="199">
        <f t="shared" ca="1" si="1"/>
        <v>433900.69859796792</v>
      </c>
      <c r="J24" s="199">
        <f t="shared" ca="1" si="1"/>
        <v>478386.03945378785</v>
      </c>
    </row>
    <row r="25" spans="1:10" ht="15" thickBot="1"/>
    <row r="26" spans="1:10" ht="15" thickBot="1">
      <c r="A26" s="291" t="s">
        <v>544</v>
      </c>
    </row>
    <row r="27" spans="1:10">
      <c r="A27" s="186" t="s">
        <v>545</v>
      </c>
      <c r="C27" s="292">
        <f>C7/B7-1</f>
        <v>6.2918323571169665E-2</v>
      </c>
      <c r="D27" s="292">
        <f t="shared" ref="D27:E27" si="2">D7/C7-1</f>
        <v>3.5532554643228798E-2</v>
      </c>
      <c r="E27" s="292">
        <f t="shared" si="2"/>
        <v>9.9211733720486528E-2</v>
      </c>
      <c r="F27" s="292">
        <f t="shared" ref="F27" si="3">F7/E7-1</f>
        <v>7.0000000000000062E-2</v>
      </c>
      <c r="G27" s="292">
        <f t="shared" ref="G27" si="4">G7/F7-1</f>
        <v>7.0000000000000062E-2</v>
      </c>
      <c r="H27" s="292">
        <f t="shared" ref="H27" si="5">H7/G7-1</f>
        <v>7.0000000000000062E-2</v>
      </c>
      <c r="I27" s="292">
        <f t="shared" ref="I27" si="6">I7/H7-1</f>
        <v>7.0000000000000062E-2</v>
      </c>
      <c r="J27" s="292">
        <f t="shared" ref="J27" si="7">J7/I7-1</f>
        <v>7.0000000000000062E-2</v>
      </c>
    </row>
    <row r="28" spans="1:10">
      <c r="A28" s="186" t="s">
        <v>546</v>
      </c>
      <c r="B28" s="292">
        <f>B9/B$7</f>
        <v>0.54725057154271994</v>
      </c>
      <c r="C28" s="292">
        <f t="shared" ref="C28:E28" si="8">C9/C$7</f>
        <v>0.49971673282719525</v>
      </c>
      <c r="D28" s="292">
        <f t="shared" si="8"/>
        <v>0.5187849173900192</v>
      </c>
      <c r="E28" s="292">
        <f t="shared" si="8"/>
        <v>0.54225699638066227</v>
      </c>
      <c r="F28" s="292">
        <f t="shared" ref="F28:J28" si="9">F9/F$7</f>
        <v>0.53500000000000003</v>
      </c>
      <c r="G28" s="292">
        <f t="shared" si="9"/>
        <v>0.53499999999999992</v>
      </c>
      <c r="H28" s="292">
        <f t="shared" si="9"/>
        <v>0.53499999999999992</v>
      </c>
      <c r="I28" s="292">
        <f t="shared" si="9"/>
        <v>0.53500000000000003</v>
      </c>
      <c r="J28" s="292">
        <f t="shared" si="9"/>
        <v>0.53499999999999992</v>
      </c>
    </row>
    <row r="29" spans="1:10">
      <c r="A29" s="186" t="s">
        <v>72</v>
      </c>
      <c r="B29" s="292">
        <f t="shared" ref="B29:E29" si="10">B10/B$7</f>
        <v>0.19639056030517768</v>
      </c>
      <c r="C29" s="292">
        <f t="shared" si="10"/>
        <v>0.18431055086542539</v>
      </c>
      <c r="D29" s="292">
        <f t="shared" si="10"/>
        <v>0.18217606164670402</v>
      </c>
      <c r="E29" s="292">
        <f t="shared" si="10"/>
        <v>0.17916475462995105</v>
      </c>
      <c r="F29" s="292">
        <f t="shared" ref="F29:J29" si="11">F10/F$7</f>
        <v>0.19000000000000003</v>
      </c>
      <c r="G29" s="292">
        <f t="shared" si="11"/>
        <v>0.18999999999999995</v>
      </c>
      <c r="H29" s="292">
        <f t="shared" si="11"/>
        <v>0.18999999999999997</v>
      </c>
      <c r="I29" s="292">
        <f t="shared" si="11"/>
        <v>0.19000000000000006</v>
      </c>
      <c r="J29" s="292">
        <f t="shared" si="11"/>
        <v>0.18999999999999995</v>
      </c>
    </row>
    <row r="30" spans="1:10">
      <c r="A30" s="186" t="s">
        <v>73</v>
      </c>
      <c r="B30" s="292">
        <f t="shared" ref="B30:E30" si="12">B11/B$7</f>
        <v>0.1820105755067003</v>
      </c>
      <c r="C30" s="292">
        <f t="shared" si="12"/>
        <v>0.16832427431479124</v>
      </c>
      <c r="D30" s="292">
        <f t="shared" si="12"/>
        <v>0.16700449507217238</v>
      </c>
      <c r="E30" s="292">
        <f t="shared" si="12"/>
        <v>0.16315275240154634</v>
      </c>
      <c r="F30" s="292">
        <f t="shared" ref="F30:J30" si="13">F11/F$7</f>
        <v>0.17400000000000004</v>
      </c>
      <c r="G30" s="292">
        <f t="shared" si="13"/>
        <v>0.17399999999999993</v>
      </c>
      <c r="H30" s="292">
        <f t="shared" si="13"/>
        <v>0.17399999999999996</v>
      </c>
      <c r="I30" s="292">
        <f t="shared" si="13"/>
        <v>0.17400000000000007</v>
      </c>
      <c r="J30" s="292">
        <f t="shared" si="13"/>
        <v>0.17526253118195148</v>
      </c>
    </row>
    <row r="31" spans="1:10" hidden="1" outlineLevel="1">
      <c r="A31" s="186" t="s">
        <v>131</v>
      </c>
      <c r="B31" s="194">
        <f>B14</f>
        <v>70228.999999999971</v>
      </c>
      <c r="C31" s="194">
        <f t="shared" ref="C31:E31" si="14">C14</f>
        <v>67329</v>
      </c>
      <c r="D31" s="194">
        <f t="shared" si="14"/>
        <v>65992.999999999971</v>
      </c>
      <c r="E31" s="194">
        <f t="shared" si="14"/>
        <v>69644</v>
      </c>
      <c r="F31" s="194">
        <f t="shared" ref="F31:J31" ca="1" si="15">F14</f>
        <v>84057.449778232825</v>
      </c>
      <c r="G31" s="194">
        <f t="shared" ca="1" si="15"/>
        <v>91032.969074168883</v>
      </c>
      <c r="H31" s="194">
        <f t="shared" ca="1" si="15"/>
        <v>98548.794966753441</v>
      </c>
      <c r="I31" s="194">
        <f t="shared" ca="1" si="15"/>
        <v>106377.82844895333</v>
      </c>
      <c r="J31" s="194">
        <f t="shared" ca="1" si="15"/>
        <v>115573.95649050004</v>
      </c>
    </row>
    <row r="32" spans="1:10" hidden="1" outlineLevel="1">
      <c r="A32" s="186" t="s">
        <v>547</v>
      </c>
      <c r="B32" s="194">
        <f>B7</f>
        <v>488109</v>
      </c>
      <c r="C32" s="194">
        <f t="shared" ref="C32:E32" si="16">C7</f>
        <v>518820</v>
      </c>
      <c r="D32" s="194">
        <f t="shared" si="16"/>
        <v>537255</v>
      </c>
      <c r="E32" s="194">
        <f t="shared" si="16"/>
        <v>590557</v>
      </c>
      <c r="F32" s="194">
        <f t="shared" ref="F32:J32" si="17">F7</f>
        <v>631895.99</v>
      </c>
      <c r="G32" s="194">
        <f t="shared" si="17"/>
        <v>676128.70929999999</v>
      </c>
      <c r="H32" s="194">
        <f t="shared" si="17"/>
        <v>723457.71895100002</v>
      </c>
      <c r="I32" s="194">
        <f t="shared" si="17"/>
        <v>774099.75927757006</v>
      </c>
      <c r="J32" s="194">
        <f t="shared" si="17"/>
        <v>828286.74242699996</v>
      </c>
    </row>
    <row r="33" spans="1:10" collapsed="1">
      <c r="A33" s="195" t="s">
        <v>548</v>
      </c>
      <c r="B33" s="293">
        <f>B31/B32</f>
        <v>0.14387974817100274</v>
      </c>
      <c r="C33" s="293">
        <f t="shared" ref="C33:E33" si="18">C31/C32</f>
        <v>0.12977333179137274</v>
      </c>
      <c r="D33" s="293">
        <f t="shared" si="18"/>
        <v>0.12283366371648467</v>
      </c>
      <c r="E33" s="293">
        <f t="shared" si="18"/>
        <v>0.11792934466952386</v>
      </c>
      <c r="F33" s="293">
        <f t="shared" ref="F33:J33" ca="1" si="19">F31/F32</f>
        <v>0.13302418611365588</v>
      </c>
      <c r="G33" s="293">
        <f t="shared" ca="1" si="19"/>
        <v>0.13463852047994804</v>
      </c>
      <c r="H33" s="293">
        <f t="shared" ca="1" si="19"/>
        <v>0.13621914921254463</v>
      </c>
      <c r="I33" s="293">
        <f t="shared" ca="1" si="19"/>
        <v>0.13742134288767976</v>
      </c>
      <c r="J33" s="293">
        <f t="shared" ca="1" si="19"/>
        <v>0.13953375150235006</v>
      </c>
    </row>
    <row r="34" spans="1:10" hidden="1" outlineLevel="1">
      <c r="A34" s="186" t="s">
        <v>547</v>
      </c>
      <c r="B34" s="194">
        <f t="shared" ref="B34:E34" si="20">B7</f>
        <v>488109</v>
      </c>
      <c r="C34" s="194">
        <f t="shared" si="20"/>
        <v>518820</v>
      </c>
      <c r="D34" s="194">
        <f t="shared" si="20"/>
        <v>537255</v>
      </c>
      <c r="E34" s="194">
        <f t="shared" si="20"/>
        <v>590557</v>
      </c>
      <c r="F34" s="194">
        <f t="shared" ref="F34:J34" si="21">F7</f>
        <v>631895.99</v>
      </c>
      <c r="G34" s="194">
        <f t="shared" si="21"/>
        <v>676128.70929999999</v>
      </c>
      <c r="H34" s="194">
        <f t="shared" si="21"/>
        <v>723457.71895100002</v>
      </c>
      <c r="I34" s="194">
        <f t="shared" si="21"/>
        <v>774099.75927757006</v>
      </c>
      <c r="J34" s="194">
        <f t="shared" si="21"/>
        <v>828286.74242699996</v>
      </c>
    </row>
    <row r="35" spans="1:10" hidden="1" outlineLevel="1">
      <c r="A35" s="186" t="s">
        <v>549</v>
      </c>
      <c r="C35" s="199">
        <f>AVERAGE(B21:C21)</f>
        <v>432249</v>
      </c>
      <c r="D35" s="199">
        <f t="shared" ref="D35:E35" si="22">AVERAGE(C21:D21)</f>
        <v>436130.5</v>
      </c>
      <c r="E35" s="199">
        <f t="shared" si="22"/>
        <v>443502.5</v>
      </c>
      <c r="F35" s="199">
        <f t="shared" ref="F35" ca="1" si="23">AVERAGE(E21:F21)</f>
        <v>461893.96375291119</v>
      </c>
      <c r="G35" s="199">
        <f t="shared" ref="G35" ca="1" si="24">AVERAGE(F21:G21)</f>
        <v>495477.54043825855</v>
      </c>
      <c r="H35" s="199">
        <f t="shared" ref="H35" ca="1" si="25">AVERAGE(G21:H21)</f>
        <v>538860.19518102775</v>
      </c>
      <c r="I35" s="199">
        <f t="shared" ref="I35" ca="1" si="26">AVERAGE(H21:I21)</f>
        <v>573181.64965201332</v>
      </c>
      <c r="J35" s="199">
        <f t="shared" ref="J35" ca="1" si="27">AVERAGE(I21:J21)</f>
        <v>611850.97547059006</v>
      </c>
    </row>
    <row r="36" spans="1:10" collapsed="1">
      <c r="A36" s="195" t="s">
        <v>550</v>
      </c>
      <c r="C36" s="215">
        <f>C34/C35</f>
        <v>1.2002803939396043</v>
      </c>
      <c r="D36" s="215">
        <f t="shared" ref="D36:E36" si="28">D34/D35</f>
        <v>1.2318675258896132</v>
      </c>
      <c r="E36" s="215">
        <f t="shared" si="28"/>
        <v>1.3315753575233511</v>
      </c>
      <c r="F36" s="215">
        <f t="shared" ref="F36:J36" ca="1" si="29">F34/F35</f>
        <v>1.3680542280003272</v>
      </c>
      <c r="G36" s="215">
        <f t="shared" ca="1" si="29"/>
        <v>1.3646001162877177</v>
      </c>
      <c r="H36" s="215">
        <f t="shared" ca="1" si="29"/>
        <v>1.3425703464846899</v>
      </c>
      <c r="I36" s="215">
        <f t="shared" ca="1" si="29"/>
        <v>1.3505313014600815</v>
      </c>
      <c r="J36" s="215">
        <f t="shared" ca="1" si="29"/>
        <v>1.3537393509750371</v>
      </c>
    </row>
    <row r="37" spans="1:10">
      <c r="A37" s="195" t="s">
        <v>551</v>
      </c>
      <c r="C37" s="293">
        <f>C33*C36</f>
        <v>0.15576438580540383</v>
      </c>
      <c r="D37" s="293">
        <f t="shared" ref="D37:J37" si="30">D33*D36</f>
        <v>0.15131480141838272</v>
      </c>
      <c r="E37" s="293">
        <f t="shared" si="30"/>
        <v>0.15703180929081573</v>
      </c>
      <c r="F37" s="293">
        <f t="shared" ca="1" si="30"/>
        <v>0.18198430023908935</v>
      </c>
      <c r="G37" s="293">
        <f t="shared" ca="1" si="30"/>
        <v>0.18372774070374334</v>
      </c>
      <c r="H37" s="293">
        <f t="shared" ca="1" si="30"/>
        <v>0.18288379035613572</v>
      </c>
      <c r="I37" s="293">
        <f t="shared" ca="1" si="30"/>
        <v>0.18559182505849026</v>
      </c>
      <c r="J37" s="293">
        <f t="shared" ca="1" si="30"/>
        <v>0.18889233019790347</v>
      </c>
    </row>
    <row r="38" spans="1:10" hidden="1" outlineLevel="1">
      <c r="A38" s="186" t="s">
        <v>549</v>
      </c>
      <c r="C38" s="199">
        <f>AVERAGE(B21:C21)</f>
        <v>432249</v>
      </c>
      <c r="D38" s="199">
        <f t="shared" ref="D38:E38" si="31">AVERAGE(C21:D21)</f>
        <v>436130.5</v>
      </c>
      <c r="E38" s="199">
        <f t="shared" si="31"/>
        <v>443502.5</v>
      </c>
      <c r="F38" s="199">
        <f t="shared" ref="F38" ca="1" si="32">AVERAGE(E21:F21)</f>
        <v>461893.96375291119</v>
      </c>
      <c r="G38" s="199">
        <f t="shared" ref="G38" ca="1" si="33">AVERAGE(F21:G21)</f>
        <v>495477.54043825855</v>
      </c>
      <c r="H38" s="199">
        <f t="shared" ref="H38" ca="1" si="34">AVERAGE(G21:H21)</f>
        <v>538860.19518102775</v>
      </c>
      <c r="I38" s="199">
        <f t="shared" ref="I38" ca="1" si="35">AVERAGE(H21:I21)</f>
        <v>573181.64965201332</v>
      </c>
      <c r="J38" s="199">
        <f t="shared" ref="J38" ca="1" si="36">AVERAGE(I21:J21)</f>
        <v>611850.97547059006</v>
      </c>
    </row>
    <row r="39" spans="1:10" hidden="1" outlineLevel="1">
      <c r="A39" s="186" t="s">
        <v>552</v>
      </c>
      <c r="C39" s="199">
        <f>AVERAGE(B23:C23)</f>
        <v>194503</v>
      </c>
      <c r="D39" s="199">
        <f t="shared" ref="D39:E39" si="37">AVERAGE(C23:D23)</f>
        <v>199401</v>
      </c>
      <c r="E39" s="199">
        <f t="shared" si="37"/>
        <v>220352</v>
      </c>
      <c r="F39" s="199">
        <f t="shared" ref="F39" ca="1" si="38">AVERAGE(E23:F23)</f>
        <v>245518.63895121124</v>
      </c>
      <c r="G39" s="199">
        <f t="shared" ref="G39" ca="1" si="39">AVERAGE(F23:G23)</f>
        <v>280538.53109873965</v>
      </c>
      <c r="H39" s="199">
        <f t="shared" ref="H39" ca="1" si="40">AVERAGE(G23:H23)</f>
        <v>322246.51918774261</v>
      </c>
      <c r="I39" s="199">
        <f t="shared" ref="I39" ca="1" si="41">AVERAGE(H23:I23)</f>
        <v>367330.37633919815</v>
      </c>
      <c r="J39" s="199">
        <f t="shared" ref="J39" ca="1" si="42">AVERAGE(I23:J23)</f>
        <v>416159.76902587787</v>
      </c>
    </row>
    <row r="40" spans="1:10" collapsed="1">
      <c r="A40" s="195" t="s">
        <v>553</v>
      </c>
      <c r="C40" s="215">
        <f>C38/C39</f>
        <v>2.2223256196562522</v>
      </c>
      <c r="D40" s="215">
        <f t="shared" ref="D40:E40" si="43">D38/D39</f>
        <v>2.1872031735046464</v>
      </c>
      <c r="E40" s="215">
        <f t="shared" si="43"/>
        <v>2.0127001343305255</v>
      </c>
      <c r="F40" s="215">
        <f t="shared" ref="F40:J40" ca="1" si="44">F38/F39</f>
        <v>1.8812989747988031</v>
      </c>
      <c r="G40" s="215">
        <f t="shared" ca="1" si="44"/>
        <v>1.7661657330909313</v>
      </c>
      <c r="H40" s="215">
        <f t="shared" ca="1" si="44"/>
        <v>1.6721986525697266</v>
      </c>
      <c r="I40" s="215">
        <f t="shared" ca="1" si="44"/>
        <v>1.5603981771513749</v>
      </c>
      <c r="J40" s="215">
        <f t="shared" ca="1" si="44"/>
        <v>1.4702309569778322</v>
      </c>
    </row>
    <row r="41" spans="1:10">
      <c r="A41" s="195" t="s">
        <v>554</v>
      </c>
      <c r="C41" s="293">
        <f>C37*C40</f>
        <v>0.34615918520536959</v>
      </c>
      <c r="D41" s="293">
        <f t="shared" ref="D41:J41" si="45">D37*D40</f>
        <v>0.33095621386051205</v>
      </c>
      <c r="E41" s="293">
        <f t="shared" si="45"/>
        <v>0.31605794365379031</v>
      </c>
      <c r="F41" s="293">
        <f t="shared" ca="1" si="45"/>
        <v>0.34236687746927635</v>
      </c>
      <c r="G41" s="293">
        <f t="shared" ca="1" si="45"/>
        <v>0.3244936398491674</v>
      </c>
      <c r="H41" s="293">
        <f t="shared" ca="1" si="45"/>
        <v>0.30581802781037448</v>
      </c>
      <c r="I41" s="293">
        <f t="shared" ca="1" si="45"/>
        <v>0.28959714551546506</v>
      </c>
      <c r="J41" s="293">
        <f t="shared" ca="1" si="45"/>
        <v>0.27771535139263631</v>
      </c>
    </row>
    <row r="42" spans="1:10" hidden="1" outlineLevel="1">
      <c r="A42" s="186" t="s">
        <v>360</v>
      </c>
      <c r="B42" s="194">
        <f t="shared" ref="B42:E42" si="46">B11</f>
        <v>88840.999999999971</v>
      </c>
      <c r="C42" s="194">
        <f t="shared" si="46"/>
        <v>87330</v>
      </c>
      <c r="D42" s="194">
        <f t="shared" si="46"/>
        <v>89723.999999999971</v>
      </c>
      <c r="E42" s="194">
        <f t="shared" si="46"/>
        <v>96351</v>
      </c>
      <c r="F42" s="194">
        <f t="shared" ref="F42:J42" si="47">F11</f>
        <v>109949.90226000002</v>
      </c>
      <c r="G42" s="194">
        <f t="shared" si="47"/>
        <v>117646.39541819996</v>
      </c>
      <c r="H42" s="194">
        <f t="shared" si="47"/>
        <v>125881.64309747398</v>
      </c>
      <c r="I42" s="194">
        <f t="shared" si="47"/>
        <v>134693.35811429724</v>
      </c>
      <c r="J42" s="194">
        <f t="shared" si="47"/>
        <v>145167.6310222091</v>
      </c>
    </row>
    <row r="43" spans="1:10" hidden="1" outlineLevel="1">
      <c r="A43" s="186" t="s">
        <v>362</v>
      </c>
      <c r="B43" s="194">
        <f t="shared" ref="B43:E43" si="48">B13</f>
        <v>16270</v>
      </c>
      <c r="C43" s="194">
        <f t="shared" si="48"/>
        <v>16779</v>
      </c>
      <c r="D43" s="194">
        <f t="shared" si="48"/>
        <v>19170</v>
      </c>
      <c r="E43" s="194">
        <f t="shared" si="48"/>
        <v>21864</v>
      </c>
      <c r="F43" s="194">
        <f t="shared" ref="F43:J43" ca="1" si="49">F13</f>
        <v>25108.069414277339</v>
      </c>
      <c r="G43" s="194">
        <f t="shared" ca="1" si="49"/>
        <v>27191.666087089405</v>
      </c>
      <c r="H43" s="194">
        <f t="shared" ca="1" si="49"/>
        <v>29436.653042017264</v>
      </c>
      <c r="I43" s="194">
        <f t="shared" ca="1" si="49"/>
        <v>31775.19551072632</v>
      </c>
      <c r="J43" s="194">
        <f t="shared" ca="1" si="49"/>
        <v>34522.090899759758</v>
      </c>
    </row>
    <row r="44" spans="1:10" hidden="1" outlineLevel="1">
      <c r="A44" s="195" t="s">
        <v>555</v>
      </c>
      <c r="B44" s="294">
        <f>B42-B43</f>
        <v>72570.999999999971</v>
      </c>
      <c r="C44" s="294">
        <f t="shared" ref="C44:E44" si="50">C42-C43</f>
        <v>70551</v>
      </c>
      <c r="D44" s="294">
        <f t="shared" si="50"/>
        <v>70553.999999999971</v>
      </c>
      <c r="E44" s="294">
        <f t="shared" si="50"/>
        <v>74487</v>
      </c>
      <c r="F44" s="294">
        <f t="shared" ref="F44:J44" ca="1" si="51">F42-F43</f>
        <v>84841.832845722674</v>
      </c>
      <c r="G44" s="294">
        <f t="shared" ca="1" si="51"/>
        <v>90454.729331110546</v>
      </c>
      <c r="H44" s="294">
        <f t="shared" ca="1" si="51"/>
        <v>96444.990055456714</v>
      </c>
      <c r="I44" s="294">
        <f t="shared" ca="1" si="51"/>
        <v>102918.16260357092</v>
      </c>
      <c r="J44" s="294">
        <f t="shared" ca="1" si="51"/>
        <v>110645.54012244934</v>
      </c>
    </row>
    <row r="45" spans="1:10" hidden="1" outlineLevel="1">
      <c r="A45" s="186" t="s">
        <v>556</v>
      </c>
      <c r="C45" s="199">
        <f>AVERAGE(B24:C24)</f>
        <v>325529</v>
      </c>
      <c r="D45" s="199">
        <f t="shared" ref="D45:E45" si="52">AVERAGE(C24:D24)</f>
        <v>332828.5</v>
      </c>
      <c r="E45" s="199">
        <f t="shared" si="52"/>
        <v>327941.5</v>
      </c>
      <c r="F45" s="199">
        <f t="shared" ref="F45" ca="1" si="53">AVERAGE(E24:F24)</f>
        <v>336971.03895121126</v>
      </c>
      <c r="G45" s="199">
        <f t="shared" ref="G45" ca="1" si="54">AVERAGE(F24:G24)</f>
        <v>365623.73109873966</v>
      </c>
      <c r="H45" s="199">
        <f t="shared" ref="H45" ca="1" si="55">AVERAGE(G24:H24)</f>
        <v>400964.51918774261</v>
      </c>
      <c r="I45" s="199">
        <f t="shared" ref="I45" ca="1" si="56">AVERAGE(H24:I24)</f>
        <v>426681.17633919814</v>
      </c>
      <c r="J45" s="199">
        <f t="shared" ref="J45" ca="1" si="57">AVERAGE(I24:J24)</f>
        <v>456143.36902587791</v>
      </c>
    </row>
    <row r="46" spans="1:10" collapsed="1">
      <c r="A46" s="195" t="s">
        <v>557</v>
      </c>
      <c r="C46" s="293">
        <f>C44/C45</f>
        <v>0.21672723474713465</v>
      </c>
      <c r="D46" s="293">
        <f t="shared" ref="D46:J46" si="58">D44/D45</f>
        <v>0.21198304832669068</v>
      </c>
      <c r="E46" s="293">
        <f t="shared" si="58"/>
        <v>0.22713502255737686</v>
      </c>
      <c r="F46" s="293">
        <f t="shared" ca="1" si="58"/>
        <v>0.25177781779046776</v>
      </c>
      <c r="G46" s="293">
        <f t="shared" ca="1" si="58"/>
        <v>0.24739840890328454</v>
      </c>
      <c r="H46" s="293">
        <f t="shared" ca="1" si="58"/>
        <v>0.24053247965887606</v>
      </c>
      <c r="I46" s="293">
        <f t="shared" ca="1" si="58"/>
        <v>0.24120624089063214</v>
      </c>
      <c r="J46" s="293">
        <f t="shared" ca="1" si="58"/>
        <v>0.24256746373128182</v>
      </c>
    </row>
    <row r="47" spans="1:10" hidden="1" outlineLevel="1">
      <c r="A47" s="186" t="s">
        <v>229</v>
      </c>
      <c r="B47" s="194">
        <f t="shared" ref="B47:E47" si="59">B17</f>
        <v>38225</v>
      </c>
      <c r="C47" s="194">
        <f t="shared" si="59"/>
        <v>41988</v>
      </c>
      <c r="D47" s="194">
        <f t="shared" si="59"/>
        <v>44581</v>
      </c>
      <c r="E47" s="194">
        <f t="shared" si="59"/>
        <v>47201</v>
      </c>
      <c r="F47" s="194">
        <f t="shared" ref="F47:J47" ca="1" si="60">F17</f>
        <v>47072.171875810389</v>
      </c>
      <c r="G47" s="194">
        <f t="shared" ca="1" si="60"/>
        <v>50978.462681534576</v>
      </c>
      <c r="H47" s="194">
        <f t="shared" ca="1" si="60"/>
        <v>55187.32518138193</v>
      </c>
      <c r="I47" s="194">
        <f t="shared" ca="1" si="60"/>
        <v>59571.583931413865</v>
      </c>
      <c r="J47" s="194">
        <f t="shared" ca="1" si="60"/>
        <v>64721.41563468003</v>
      </c>
    </row>
    <row r="48" spans="1:10" hidden="1" outlineLevel="1">
      <c r="A48" s="186" t="s">
        <v>131</v>
      </c>
      <c r="B48" s="194">
        <f t="shared" ref="B48:E48" si="61">B14</f>
        <v>70228.999999999971</v>
      </c>
      <c r="C48" s="194">
        <f t="shared" si="61"/>
        <v>67329</v>
      </c>
      <c r="D48" s="194">
        <f t="shared" si="61"/>
        <v>65992.999999999971</v>
      </c>
      <c r="E48" s="194">
        <f t="shared" si="61"/>
        <v>69644</v>
      </c>
      <c r="F48" s="194">
        <f t="shared" ref="F48:J48" ca="1" si="62">F14</f>
        <v>84057.449778232825</v>
      </c>
      <c r="G48" s="194">
        <f t="shared" ca="1" si="62"/>
        <v>91032.969074168883</v>
      </c>
      <c r="H48" s="194">
        <f t="shared" ca="1" si="62"/>
        <v>98548.794966753441</v>
      </c>
      <c r="I48" s="194">
        <f t="shared" ca="1" si="62"/>
        <v>106377.82844895333</v>
      </c>
      <c r="J48" s="194">
        <f t="shared" ca="1" si="62"/>
        <v>115573.95649050004</v>
      </c>
    </row>
    <row r="49" spans="1:10" collapsed="1">
      <c r="A49" s="195" t="s">
        <v>558</v>
      </c>
      <c r="B49" s="293">
        <f>B47/B48</f>
        <v>0.54429082003161111</v>
      </c>
      <c r="C49" s="293">
        <f t="shared" ref="C49:E49" si="63">C47/C48</f>
        <v>0.62362429265249741</v>
      </c>
      <c r="D49" s="293">
        <f t="shared" si="63"/>
        <v>0.67554134529419818</v>
      </c>
      <c r="E49" s="293">
        <f t="shared" si="63"/>
        <v>0.67774682671874098</v>
      </c>
      <c r="F49" s="293">
        <f t="shared" ref="F49:J49" ca="1" si="64">F47/F48</f>
        <v>0.56000000000000005</v>
      </c>
      <c r="G49" s="293">
        <f t="shared" ca="1" si="64"/>
        <v>0.56000000000000005</v>
      </c>
      <c r="H49" s="293">
        <f t="shared" ca="1" si="64"/>
        <v>0.56000000000000005</v>
      </c>
      <c r="I49" s="293">
        <f t="shared" ca="1" si="64"/>
        <v>0.56000000000000005</v>
      </c>
      <c r="J49" s="293">
        <f t="shared" ca="1" si="64"/>
        <v>0.56000000000000005</v>
      </c>
    </row>
    <row r="50" spans="1:10" ht="15" thickBot="1"/>
    <row r="51" spans="1:10" ht="15" thickBot="1">
      <c r="A51" s="291" t="s">
        <v>559</v>
      </c>
    </row>
    <row r="52" spans="1:10">
      <c r="A52" s="186" t="s">
        <v>560</v>
      </c>
      <c r="B52" s="292">
        <f>B22/B24</f>
        <v>0.36612447093210848</v>
      </c>
      <c r="C52" s="292">
        <f t="shared" ref="C52:E52" si="65">C22/C24</f>
        <v>0.43683569398332817</v>
      </c>
      <c r="D52" s="292">
        <f t="shared" si="65"/>
        <v>0.36448547264915138</v>
      </c>
      <c r="E52" s="292">
        <f t="shared" si="65"/>
        <v>0.2910426187561892</v>
      </c>
      <c r="F52" s="292">
        <f t="shared" ref="F52:J52" ca="1" si="66">F22/F24</f>
        <v>0.25307867505177517</v>
      </c>
      <c r="G52" s="292">
        <f t="shared" ca="1" si="66"/>
        <v>0.21414008975159177</v>
      </c>
      <c r="H52" s="292">
        <f t="shared" ca="1" si="66"/>
        <v>0.18007462485597522</v>
      </c>
      <c r="I52" s="292">
        <f t="shared" ca="1" si="66"/>
        <v>9.9486357453405963E-2</v>
      </c>
      <c r="J52" s="292">
        <f t="shared" ca="1" si="66"/>
        <v>7.692532173810411E-2</v>
      </c>
    </row>
    <row r="53" spans="1:10">
      <c r="A53" s="195" t="s">
        <v>561</v>
      </c>
      <c r="B53" s="215">
        <f>B22/B10</f>
        <v>1.2073857709159195</v>
      </c>
      <c r="C53" s="215">
        <f>C22/C10</f>
        <v>1.5300761315151008</v>
      </c>
      <c r="D53" s="215">
        <f t="shared" ref="D53:E53" si="67">D22/D10</f>
        <v>1.2316015325670502</v>
      </c>
      <c r="E53" s="215">
        <f t="shared" si="67"/>
        <v>0.89442097403763454</v>
      </c>
      <c r="F53" s="215">
        <f t="shared" ref="F53:J53" ca="1" si="68">F22/F10</f>
        <v>0.73520427242930808</v>
      </c>
      <c r="G53" s="215">
        <f t="shared" ca="1" si="68"/>
        <v>0.63754289191159941</v>
      </c>
      <c r="H53" s="215">
        <f t="shared" ca="1" si="68"/>
        <v>0.54951307211242384</v>
      </c>
      <c r="I53" s="215">
        <f t="shared" ca="1" si="68"/>
        <v>0.29349678352272712</v>
      </c>
      <c r="J53" s="215">
        <f t="shared" ca="1" si="68"/>
        <v>0.23383714914812362</v>
      </c>
    </row>
    <row r="54" spans="1:10">
      <c r="A54" s="186" t="s">
        <v>562</v>
      </c>
      <c r="B54" s="234">
        <f>(B10-B16)/B12</f>
        <v>33.737369519832974</v>
      </c>
      <c r="C54" s="234">
        <f>(C10-C16)/C12</f>
        <v>31.845733041575492</v>
      </c>
      <c r="D54" s="234">
        <f t="shared" ref="D54:E54" si="69">(D10-D16)/D12</f>
        <v>16.21018881368008</v>
      </c>
      <c r="E54" s="234">
        <f t="shared" si="69"/>
        <v>23.699790062981105</v>
      </c>
      <c r="F54" s="234">
        <f t="shared" ref="F54:J54" ca="1" si="70">(F10-F16)/F12</f>
        <v>31.219126891183784</v>
      </c>
      <c r="G54" s="234">
        <f t="shared" ca="1" si="70"/>
        <v>37.593508178007795</v>
      </c>
      <c r="H54" s="234">
        <f t="shared" ca="1" si="70"/>
        <v>45.992707833472686</v>
      </c>
      <c r="I54" s="234">
        <f t="shared" ca="1" si="70"/>
        <v>66.948276010101367</v>
      </c>
      <c r="J54" s="234">
        <f t="shared" ca="1" si="70"/>
        <v>111.99915800046672</v>
      </c>
    </row>
    <row r="55" spans="1:10" ht="15" thickBot="1"/>
    <row r="56" spans="1:10" ht="15" thickBot="1">
      <c r="A56" s="291" t="s">
        <v>563</v>
      </c>
    </row>
    <row r="57" spans="1:10">
      <c r="A57" s="186" t="s">
        <v>564</v>
      </c>
      <c r="B57" s="292">
        <f>B16/B7</f>
        <v>3.085171549797279E-2</v>
      </c>
      <c r="C57" s="292">
        <f t="shared" ref="C57:J57" si="71">C16/C7</f>
        <v>1.600362360741683E-2</v>
      </c>
      <c r="D57" s="292">
        <f t="shared" si="71"/>
        <v>1.2789085257466195E-2</v>
      </c>
      <c r="E57" s="292">
        <f t="shared" si="71"/>
        <v>7.1220898236749371E-3</v>
      </c>
      <c r="F57" s="292">
        <f t="shared" si="71"/>
        <v>0.02</v>
      </c>
      <c r="G57" s="292">
        <f t="shared" si="71"/>
        <v>0.02</v>
      </c>
      <c r="H57" s="292">
        <f t="shared" si="71"/>
        <v>0.02</v>
      </c>
      <c r="I57" s="292">
        <f t="shared" si="71"/>
        <v>0.02</v>
      </c>
      <c r="J57" s="292">
        <f t="shared" si="71"/>
        <v>0.02</v>
      </c>
    </row>
    <row r="58" spans="1:10" hidden="1" outlineLevel="1">
      <c r="A58" s="186" t="s">
        <v>565</v>
      </c>
      <c r="B58" s="201">
        <f t="shared" ref="B58:E58" si="72">B7</f>
        <v>488109</v>
      </c>
      <c r="C58" s="201">
        <f t="shared" si="72"/>
        <v>518820</v>
      </c>
      <c r="D58" s="201">
        <f t="shared" si="72"/>
        <v>537255</v>
      </c>
      <c r="E58" s="201">
        <f t="shared" si="72"/>
        <v>590557</v>
      </c>
      <c r="F58" s="201">
        <f t="shared" ref="F58:J58" si="73">F7</f>
        <v>631895.99</v>
      </c>
      <c r="G58" s="201">
        <f t="shared" si="73"/>
        <v>676128.70929999999</v>
      </c>
      <c r="H58" s="201">
        <f t="shared" si="73"/>
        <v>723457.71895100002</v>
      </c>
      <c r="I58" s="201">
        <f t="shared" si="73"/>
        <v>774099.75927757006</v>
      </c>
      <c r="J58" s="201">
        <f t="shared" si="73"/>
        <v>828286.74242699996</v>
      </c>
    </row>
    <row r="59" spans="1:10" hidden="1" outlineLevel="1">
      <c r="A59" s="186" t="s">
        <v>566</v>
      </c>
      <c r="B59" s="199">
        <f>B58/365</f>
        <v>1337.2849315068493</v>
      </c>
      <c r="C59" s="199">
        <f t="shared" ref="C59:E59" si="74">C58/365</f>
        <v>1421.4246575342465</v>
      </c>
      <c r="D59" s="199">
        <f t="shared" si="74"/>
        <v>1471.9315068493152</v>
      </c>
      <c r="E59" s="199">
        <f t="shared" si="74"/>
        <v>1617.9643835616439</v>
      </c>
      <c r="F59" s="199">
        <f t="shared" ref="F59:J59" si="75">F58/365</f>
        <v>1731.2218904109588</v>
      </c>
      <c r="G59" s="199">
        <f t="shared" si="75"/>
        <v>1852.4074227397259</v>
      </c>
      <c r="H59" s="199">
        <f t="shared" si="75"/>
        <v>1982.0759423315069</v>
      </c>
      <c r="I59" s="199">
        <f t="shared" si="75"/>
        <v>2120.8212582947126</v>
      </c>
      <c r="J59" s="199">
        <f t="shared" si="75"/>
        <v>2269.2787463753425</v>
      </c>
    </row>
    <row r="60" spans="1:10" hidden="1" outlineLevel="1">
      <c r="A60" s="186" t="s">
        <v>567</v>
      </c>
      <c r="C60" s="199">
        <f>AVERAGE(B18:C18)</f>
        <v>89744</v>
      </c>
      <c r="D60" s="199">
        <f t="shared" ref="D60:E60" si="76">AVERAGE(C18:D18)</f>
        <v>93984.5</v>
      </c>
      <c r="E60" s="199">
        <f t="shared" si="76"/>
        <v>107766</v>
      </c>
      <c r="F60" s="199">
        <f t="shared" ref="F60" si="77">AVERAGE(E18:F18)</f>
        <v>121936.099</v>
      </c>
      <c r="G60" s="199">
        <f t="shared" ref="G60" si="78">AVERAGE(F18:G18)</f>
        <v>130802.46993000001</v>
      </c>
      <c r="H60" s="199">
        <f t="shared" ref="H60" si="79">AVERAGE(G18:H18)</f>
        <v>139958.64282509999</v>
      </c>
      <c r="I60" s="199">
        <f t="shared" ref="I60" si="80">AVERAGE(H18:I18)</f>
        <v>149755.747822857</v>
      </c>
      <c r="J60" s="199">
        <f t="shared" ref="J60" si="81">AVERAGE(I18:J18)</f>
        <v>160238.65017045703</v>
      </c>
    </row>
    <row r="61" spans="1:10" collapsed="1">
      <c r="A61" s="195" t="s">
        <v>568</v>
      </c>
      <c r="C61" s="295">
        <f>C60/C59</f>
        <v>63.136656258432602</v>
      </c>
      <c r="D61" s="295">
        <f t="shared" ref="D61:E61" si="82">D60/D59</f>
        <v>63.851136797237807</v>
      </c>
      <c r="E61" s="295">
        <f t="shared" si="82"/>
        <v>66.605916109706598</v>
      </c>
      <c r="F61" s="295">
        <f t="shared" ref="F61:J61" si="83">F60/F59</f>
        <v>70.433547354842375</v>
      </c>
      <c r="G61" s="295">
        <f t="shared" si="83"/>
        <v>70.612149532710291</v>
      </c>
      <c r="H61" s="295">
        <f t="shared" si="83"/>
        <v>70.612149532710276</v>
      </c>
      <c r="I61" s="295">
        <f t="shared" si="83"/>
        <v>70.612149532710276</v>
      </c>
      <c r="J61" s="295">
        <f t="shared" si="83"/>
        <v>70.612149532710291</v>
      </c>
    </row>
    <row r="62" spans="1:10" hidden="1" outlineLevel="1">
      <c r="A62" s="186" t="s">
        <v>539</v>
      </c>
      <c r="B62" s="201">
        <f t="shared" ref="B62:E62" si="84">B8</f>
        <v>220991.07077485448</v>
      </c>
      <c r="C62" s="201">
        <f t="shared" si="84"/>
        <v>259556.96467459455</v>
      </c>
      <c r="D62" s="201">
        <f t="shared" si="84"/>
        <v>258535.20920762522</v>
      </c>
      <c r="E62" s="201">
        <f t="shared" si="84"/>
        <v>270323.33498842525</v>
      </c>
      <c r="F62" s="201">
        <f t="shared" ref="F62:J62" si="85">F8</f>
        <v>293831.63535</v>
      </c>
      <c r="G62" s="201">
        <f t="shared" si="85"/>
        <v>314399.84982450004</v>
      </c>
      <c r="H62" s="201">
        <f t="shared" si="85"/>
        <v>336407.83931221504</v>
      </c>
      <c r="I62" s="201">
        <f t="shared" si="85"/>
        <v>359956.38806407008</v>
      </c>
      <c r="J62" s="201">
        <f t="shared" si="85"/>
        <v>385153.33522855502</v>
      </c>
    </row>
    <row r="63" spans="1:10" hidden="1" outlineLevel="1">
      <c r="A63" s="186" t="s">
        <v>569</v>
      </c>
      <c r="B63" s="199">
        <f>B62/365</f>
        <v>605.45498842425889</v>
      </c>
      <c r="C63" s="199">
        <f t="shared" ref="C63:E63" si="86">C62/365</f>
        <v>711.11497171121789</v>
      </c>
      <c r="D63" s="199">
        <f t="shared" si="86"/>
        <v>708.31564166472663</v>
      </c>
      <c r="E63" s="199">
        <f t="shared" si="86"/>
        <v>740.61187668061712</v>
      </c>
      <c r="F63" s="199">
        <f t="shared" ref="F63:J63" si="87">F62/365</f>
        <v>805.01817904109589</v>
      </c>
      <c r="G63" s="199">
        <f t="shared" si="87"/>
        <v>861.3694515739727</v>
      </c>
      <c r="H63" s="199">
        <f t="shared" si="87"/>
        <v>921.66531318415082</v>
      </c>
      <c r="I63" s="199">
        <f t="shared" si="87"/>
        <v>986.18188510704135</v>
      </c>
      <c r="J63" s="199">
        <f t="shared" si="87"/>
        <v>1055.2146170645342</v>
      </c>
    </row>
    <row r="64" spans="1:10" hidden="1" outlineLevel="1">
      <c r="A64" s="186" t="s">
        <v>570</v>
      </c>
      <c r="C64" s="199">
        <f>AVERAGE(B19:C19)</f>
        <v>79926.5</v>
      </c>
      <c r="D64" s="199">
        <f t="shared" ref="D64:E64" si="88">AVERAGE(C19:D19)</f>
        <v>95311.5</v>
      </c>
      <c r="E64" s="199">
        <f t="shared" si="88"/>
        <v>82805</v>
      </c>
      <c r="F64" s="199">
        <f t="shared" ref="F64" si="89">AVERAGE(E19:F19)</f>
        <v>76272.95441875</v>
      </c>
      <c r="G64" s="199">
        <f t="shared" ref="G64" si="90">AVERAGE(F19:G19)</f>
        <v>76028.935646812504</v>
      </c>
      <c r="H64" s="199">
        <f t="shared" ref="H64" si="91">AVERAGE(G19:H19)</f>
        <v>81350.961142089393</v>
      </c>
      <c r="I64" s="199">
        <f t="shared" ref="I64" si="92">AVERAGE(H19:I19)</f>
        <v>87045.528422035641</v>
      </c>
      <c r="J64" s="199">
        <f t="shared" ref="J64" si="93">AVERAGE(I19:J19)</f>
        <v>93138.71541157813</v>
      </c>
    </row>
    <row r="65" spans="1:10" collapsed="1">
      <c r="A65" s="195" t="s">
        <v>571</v>
      </c>
      <c r="C65" s="295">
        <f>C64/C63</f>
        <v>112.39603043044629</v>
      </c>
      <c r="D65" s="295">
        <f t="shared" ref="D65:E65" si="94">D64/D63</f>
        <v>134.56077261825405</v>
      </c>
      <c r="E65" s="295">
        <f t="shared" si="94"/>
        <v>111.80620053127906</v>
      </c>
      <c r="F65" s="295">
        <f t="shared" ref="F65:J65" si="95">F64/F63</f>
        <v>94.746872063936692</v>
      </c>
      <c r="G65" s="295">
        <f t="shared" si="95"/>
        <v>88.265186915887853</v>
      </c>
      <c r="H65" s="295">
        <f t="shared" si="95"/>
        <v>88.265186915887853</v>
      </c>
      <c r="I65" s="295">
        <f t="shared" si="95"/>
        <v>88.265186915887853</v>
      </c>
      <c r="J65" s="295">
        <f t="shared" si="95"/>
        <v>88.265186915887853</v>
      </c>
    </row>
    <row r="66" spans="1:10" hidden="1" outlineLevel="1">
      <c r="A66" s="186" t="s">
        <v>539</v>
      </c>
      <c r="B66" s="201">
        <f t="shared" ref="B66:E66" si="96">B8</f>
        <v>220991.07077485448</v>
      </c>
      <c r="C66" s="201">
        <f t="shared" si="96"/>
        <v>259556.96467459455</v>
      </c>
      <c r="D66" s="201">
        <f t="shared" si="96"/>
        <v>258535.20920762522</v>
      </c>
      <c r="E66" s="201">
        <f t="shared" si="96"/>
        <v>270323.33498842525</v>
      </c>
      <c r="F66" s="201">
        <f t="shared" ref="F66:J66" si="97">F8</f>
        <v>293831.63535</v>
      </c>
      <c r="G66" s="201">
        <f t="shared" si="97"/>
        <v>314399.84982450004</v>
      </c>
      <c r="H66" s="201">
        <f t="shared" si="97"/>
        <v>336407.83931221504</v>
      </c>
      <c r="I66" s="201">
        <f t="shared" si="97"/>
        <v>359956.38806407008</v>
      </c>
      <c r="J66" s="201">
        <f t="shared" si="97"/>
        <v>385153.33522855502</v>
      </c>
    </row>
    <row r="67" spans="1:10" hidden="1" outlineLevel="1">
      <c r="A67" s="186" t="s">
        <v>569</v>
      </c>
      <c r="B67" s="199">
        <f>B66/365</f>
        <v>605.45498842425889</v>
      </c>
      <c r="C67" s="199">
        <f t="shared" ref="C67:E67" si="98">C66/365</f>
        <v>711.11497171121789</v>
      </c>
      <c r="D67" s="199">
        <f t="shared" si="98"/>
        <v>708.31564166472663</v>
      </c>
      <c r="E67" s="199">
        <f t="shared" si="98"/>
        <v>740.61187668061712</v>
      </c>
      <c r="F67" s="199">
        <f t="shared" ref="F67:J67" si="99">F66/365</f>
        <v>805.01817904109589</v>
      </c>
      <c r="G67" s="199">
        <f t="shared" si="99"/>
        <v>861.3694515739727</v>
      </c>
      <c r="H67" s="199">
        <f t="shared" si="99"/>
        <v>921.66531318415082</v>
      </c>
      <c r="I67" s="199">
        <f t="shared" si="99"/>
        <v>986.18188510704135</v>
      </c>
      <c r="J67" s="199">
        <f t="shared" si="99"/>
        <v>1055.2146170645342</v>
      </c>
    </row>
    <row r="68" spans="1:10" hidden="1" outlineLevel="1">
      <c r="A68" s="186" t="s">
        <v>572</v>
      </c>
      <c r="C68" s="199">
        <f>AVERAGE(B20:C20)</f>
        <v>33175.5</v>
      </c>
      <c r="D68" s="199">
        <f t="shared" ref="D68:E68" si="100">AVERAGE(C20:D20)</f>
        <v>31839</v>
      </c>
      <c r="E68" s="199">
        <f t="shared" si="100"/>
        <v>33393</v>
      </c>
      <c r="F68" s="199">
        <f t="shared" ref="F68" si="101">AVERAGE(E20:F20)</f>
        <v>36197.561391700001</v>
      </c>
      <c r="G68" s="199">
        <f t="shared" ref="G68" si="102">AVERAGE(F20:G20)</f>
        <v>37710.352080819008</v>
      </c>
      <c r="H68" s="199">
        <f t="shared" ref="H68" si="103">AVERAGE(G20:H20)</f>
        <v>40350.076726476334</v>
      </c>
      <c r="I68" s="199">
        <f t="shared" ref="I68" si="104">AVERAGE(H20:I20)</f>
        <v>43174.58209732968</v>
      </c>
      <c r="J68" s="199">
        <f t="shared" ref="J68" si="105">AVERAGE(I20:J20)</f>
        <v>46196.80284414276</v>
      </c>
    </row>
    <row r="69" spans="1:10" collapsed="1">
      <c r="A69" s="195" t="s">
        <v>573</v>
      </c>
      <c r="C69" s="295">
        <f>C68/C67</f>
        <v>46.65279359843445</v>
      </c>
      <c r="D69" s="295">
        <f t="shared" ref="D69:E69" si="106">D68/D67</f>
        <v>44.950299170536518</v>
      </c>
      <c r="E69" s="295">
        <f t="shared" si="106"/>
        <v>45.088393869222898</v>
      </c>
      <c r="F69" s="295">
        <f t="shared" ref="F69:J69" si="107">F68/F67</f>
        <v>44.96489934527569</v>
      </c>
      <c r="G69" s="295">
        <f t="shared" si="107"/>
        <v>43.779532710280378</v>
      </c>
      <c r="H69" s="295">
        <f t="shared" si="107"/>
        <v>43.779532710280371</v>
      </c>
      <c r="I69" s="295">
        <f t="shared" si="107"/>
        <v>43.779532710280378</v>
      </c>
      <c r="J69" s="295">
        <f t="shared" si="107"/>
        <v>43.779532710280378</v>
      </c>
    </row>
    <row r="70" spans="1:10">
      <c r="A70" s="195" t="s">
        <v>574</v>
      </c>
      <c r="C70" s="295">
        <f>C61+C65-C69</f>
        <v>128.87989309044445</v>
      </c>
      <c r="D70" s="295">
        <f t="shared" ref="D70:E70" si="108">D61+D65-D69</f>
        <v>153.46161024495535</v>
      </c>
      <c r="E70" s="295">
        <f t="shared" si="108"/>
        <v>133.32372277176276</v>
      </c>
      <c r="F70" s="295">
        <f t="shared" ref="F70:J70" si="109">F61+F65-F69</f>
        <v>120.2155200735034</v>
      </c>
      <c r="G70" s="295">
        <f t="shared" si="109"/>
        <v>115.09780373831778</v>
      </c>
      <c r="H70" s="295">
        <f t="shared" si="109"/>
        <v>115.09780373831777</v>
      </c>
      <c r="I70" s="295">
        <f t="shared" si="109"/>
        <v>115.09780373831775</v>
      </c>
      <c r="J70" s="295">
        <f t="shared" si="109"/>
        <v>115.09780373831778</v>
      </c>
    </row>
    <row r="72" spans="1:10">
      <c r="A72" s="186" t="s">
        <v>575</v>
      </c>
    </row>
  </sheetData>
  <pageMargins left="0.7" right="0.7" top="0.75" bottom="0.75" header="0.3" footer="0.3"/>
  <pageSetup scale="63"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vt:lpstr>
      <vt:lpstr>Balance Sheet HISTORICAL</vt:lpstr>
      <vt:lpstr>Assumptions</vt:lpstr>
      <vt:lpstr>Debt</vt:lpstr>
      <vt:lpstr>Calcs</vt:lpstr>
      <vt:lpstr>Income Statement</vt:lpstr>
      <vt:lpstr>Balance Sheet PROJECTED</vt:lpstr>
      <vt:lpstr>WACC</vt:lpstr>
      <vt:lpstr>Start here Ratings sheet</vt:lpstr>
      <vt:lpstr>Cash Flow Statement</vt:lpstr>
      <vt:lpstr>Operating Leases</vt:lpstr>
      <vt:lpstr>Trading Comps</vt:lpstr>
      <vt:lpstr>Transaction Comps</vt:lpstr>
      <vt:lpstr>AVP</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Freeman, CFA</dc:creator>
  <cp:lastModifiedBy>Yathen Nagireddi</cp:lastModifiedBy>
  <cp:lastPrinted>2025-04-11T13:42:11Z</cp:lastPrinted>
  <dcterms:created xsi:type="dcterms:W3CDTF">2025-02-01T14:43:31Z</dcterms:created>
  <dcterms:modified xsi:type="dcterms:W3CDTF">2026-10-03T03:10:11Z</dcterms:modified>
</cp:coreProperties>
</file>